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6cd9fdbd95fc75d/학교 백업 클라우드/Dxlib 팀 프로젝트/"/>
    </mc:Choice>
  </mc:AlternateContent>
  <xr:revisionPtr revIDLastSave="0" documentId="13_ncr:1_{9BE09C98-B665-8A40-BEDC-3489F03062D4}" xr6:coauthVersionLast="47" xr6:coauthVersionMax="47" xr10:uidLastSave="{00000000-0000-0000-0000-000000000000}"/>
  <bookViews>
    <workbookView xWindow="-120" yWindow="-120" windowWidth="38640" windowHeight="21120" tabRatio="658" firstSheet="3" activeTab="3" xr2:uid="{00000000-000D-0000-FFFF-FFFF00000000}"/>
  </bookViews>
  <sheets>
    <sheet name="スケジュール（4月分）" sheetId="10" r:id="rId1"/>
    <sheet name="スケジュール（5月分）" sheetId="11" r:id="rId2"/>
    <sheet name="スケジュール（6月分）" sheetId="12" r:id="rId3"/>
    <sheet name="スプリントバックログ(プロト）" sheetId="2" r:id="rId4"/>
    <sheet name="スプリントバックログ(α)" sheetId="3" r:id="rId5"/>
  </sheets>
  <definedNames>
    <definedName name="_xlnm._FilterDatabase" localSheetId="4" hidden="1">'スプリントバックログ(α)'!$A$1:$N$106</definedName>
    <definedName name="担当者" localSheetId="0">OFFSET(#REF!,0,0,COUNTA(#REF!),1)</definedName>
    <definedName name="担当者" localSheetId="1">OFFSET(#REF!,0,0,COUNTA(#REF!),1)</definedName>
    <definedName name="担当者" localSheetId="2">OFFSET(#REF!,0,0,COUNTA(#REF!),1)</definedName>
    <definedName name="担当者">OFFSET(#REF!,0,0,COUNTA(#REF!),1)</definedName>
    <definedName name="登録者" localSheetId="0">OFFSET(#REF!,0,0,COUNTA(#REF!),1)</definedName>
    <definedName name="登録者" localSheetId="1">OFFSET(#REF!,0,0,COUNTA(#REF!),1)</definedName>
    <definedName name="登録者" localSheetId="2">OFFSET(#REF!,0,0,COUNTA(#REF!),1)</definedName>
    <definedName name="登録者">OFFSET(#REF!,0,0,COUNTA(#REF!),1)</definedName>
    <definedName name="状況" localSheetId="0">OFFSET(#REF!,0,0,COUNTA(#REF!),1)</definedName>
    <definedName name="状況" localSheetId="1">OFFSET(#REF!,0,0,COUNTA(#REF!),1)</definedName>
    <definedName name="状況" localSheetId="2">OFFSET(#REF!,0,0,COUNTA(#REF!),1)</definedName>
    <definedName name="状況">OFFSET(#REF!,0,0,COUNTA(#REF!),1)</definedName>
    <definedName name="状況２" localSheetId="0">OFFSET(#REF!,0,0,COUNTA(#REF!),1)</definedName>
    <definedName name="状況２" localSheetId="1">OFFSET(#REF!,0,0,COUNTA(#REF!),1)</definedName>
    <definedName name="状況２" localSheetId="2">OFFSET(#REF!,0,0,COUNTA(#REF!),1)</definedName>
    <definedName name="状況２">OFFSET(#REF!,0,0,COUNTA(#REF!),1)</definedName>
    <definedName name="重要度" localSheetId="0">OFFSET(#REF!,0,0,COUNTA(#REF!),1)</definedName>
    <definedName name="重要度" localSheetId="1">OFFSET(#REF!,0,0,COUNTA(#REF!),1)</definedName>
    <definedName name="重要度" localSheetId="2">OFFSET(#REF!,0,0,COUNTA(#REF!),1)</definedName>
    <definedName name="重要度">OFFSET(#REF!,0,0,COUNTA(#REF!),1)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I55" i="3"/>
  <c r="I49" i="3"/>
  <c r="D49" i="3" s="1"/>
  <c r="M4" i="3"/>
  <c r="I44" i="3"/>
  <c r="L4" i="3"/>
  <c r="I62" i="2"/>
  <c r="D62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I25" i="3"/>
  <c r="D25" i="3" s="1"/>
  <c r="I34" i="3"/>
  <c r="D34" i="3" s="1"/>
  <c r="I35" i="3"/>
  <c r="K4" i="3"/>
  <c r="I31" i="3"/>
  <c r="D31" i="3" s="1"/>
  <c r="F1" i="12"/>
  <c r="F1" i="11"/>
  <c r="F1" i="10"/>
  <c r="I11" i="3"/>
  <c r="D11" i="3" s="1"/>
  <c r="I10" i="3"/>
  <c r="D10" i="3" s="1"/>
  <c r="I39" i="2"/>
  <c r="D39" i="2" s="1"/>
  <c r="I50" i="2"/>
  <c r="D50" i="2" s="1"/>
  <c r="J4" i="2"/>
  <c r="P3" i="2"/>
  <c r="I5" i="2"/>
  <c r="D5" i="2" s="1"/>
  <c r="I6" i="2"/>
  <c r="D6" i="2" s="1"/>
  <c r="I7" i="2"/>
  <c r="D7" i="2" s="1"/>
  <c r="I8" i="2"/>
  <c r="D8" i="2" s="1"/>
  <c r="I9" i="2"/>
  <c r="D9" i="2" s="1"/>
  <c r="I10" i="2"/>
  <c r="D10" i="2"/>
  <c r="I11" i="2"/>
  <c r="AB111" i="2" s="1"/>
  <c r="AE111" i="2" s="1"/>
  <c r="D11" i="2"/>
  <c r="I12" i="2"/>
  <c r="D12" i="2" s="1"/>
  <c r="I13" i="2"/>
  <c r="D13" i="2" s="1"/>
  <c r="I14" i="2"/>
  <c r="D14" i="2" s="1"/>
  <c r="I15" i="2"/>
  <c r="D15" i="2" s="1"/>
  <c r="I16" i="2"/>
  <c r="D16" i="2" s="1"/>
  <c r="I17" i="2"/>
  <c r="D17" i="2" s="1"/>
  <c r="I18" i="2"/>
  <c r="D18" i="2" s="1"/>
  <c r="I19" i="2"/>
  <c r="D19" i="2" s="1"/>
  <c r="I20" i="2"/>
  <c r="D20" i="2"/>
  <c r="I21" i="2"/>
  <c r="D21" i="2" s="1"/>
  <c r="I22" i="2"/>
  <c r="D22" i="2" s="1"/>
  <c r="I23" i="2"/>
  <c r="D23" i="2"/>
  <c r="I24" i="2"/>
  <c r="D24" i="2" s="1"/>
  <c r="I25" i="2"/>
  <c r="D25" i="2" s="1"/>
  <c r="I26" i="2"/>
  <c r="D26" i="2" s="1"/>
  <c r="I27" i="2"/>
  <c r="D27" i="2" s="1"/>
  <c r="I28" i="2"/>
  <c r="D28" i="2" s="1"/>
  <c r="D29" i="2"/>
  <c r="I29" i="2"/>
  <c r="D30" i="2"/>
  <c r="I31" i="2"/>
  <c r="D31" i="2" s="1"/>
  <c r="I32" i="2"/>
  <c r="AB110" i="2" s="1"/>
  <c r="AE110" i="2" s="1"/>
  <c r="D32" i="2"/>
  <c r="I33" i="2"/>
  <c r="D33" i="2" s="1"/>
  <c r="I34" i="2"/>
  <c r="D34" i="2" s="1"/>
  <c r="D35" i="2"/>
  <c r="I36" i="2"/>
  <c r="D36" i="2"/>
  <c r="I37" i="2"/>
  <c r="D37" i="2" s="1"/>
  <c r="I38" i="2"/>
  <c r="D38" i="2" s="1"/>
  <c r="I40" i="2"/>
  <c r="D40" i="2" s="1"/>
  <c r="D41" i="2"/>
  <c r="I42" i="2"/>
  <c r="D42" i="2" s="1"/>
  <c r="I43" i="2"/>
  <c r="D43" i="2"/>
  <c r="I44" i="2"/>
  <c r="D44" i="2"/>
  <c r="I45" i="2"/>
  <c r="D45" i="2"/>
  <c r="I46" i="2"/>
  <c r="D46" i="2"/>
  <c r="I47" i="2"/>
  <c r="D47" i="2"/>
  <c r="I48" i="2"/>
  <c r="AB108" i="2" s="1"/>
  <c r="AE108" i="2" s="1"/>
  <c r="D48" i="2"/>
  <c r="I49" i="2"/>
  <c r="AB107" i="2" s="1"/>
  <c r="AE107" i="2" s="1"/>
  <c r="I51" i="2"/>
  <c r="D51" i="2" s="1"/>
  <c r="I52" i="2"/>
  <c r="D52" i="2" s="1"/>
  <c r="I53" i="2"/>
  <c r="D53" i="2" s="1"/>
  <c r="I54" i="2"/>
  <c r="D54" i="2" s="1"/>
  <c r="I55" i="2"/>
  <c r="D55" i="2"/>
  <c r="I56" i="2"/>
  <c r="D56" i="2"/>
  <c r="I57" i="2"/>
  <c r="D57" i="2" s="1"/>
  <c r="I58" i="2"/>
  <c r="D58" i="2"/>
  <c r="I59" i="2"/>
  <c r="D59" i="2"/>
  <c r="I60" i="2"/>
  <c r="D60" i="2"/>
  <c r="I61" i="2"/>
  <c r="D61" i="2" s="1"/>
  <c r="D63" i="2"/>
  <c r="D64" i="2"/>
  <c r="I64" i="2"/>
  <c r="D65" i="2"/>
  <c r="I65" i="2"/>
  <c r="D66" i="2"/>
  <c r="I66" i="2"/>
  <c r="D67" i="2"/>
  <c r="I67" i="2"/>
  <c r="D68" i="2"/>
  <c r="I68" i="2"/>
  <c r="D69" i="2"/>
  <c r="I69" i="2"/>
  <c r="D70" i="2"/>
  <c r="I70" i="2"/>
  <c r="D71" i="2"/>
  <c r="I71" i="2"/>
  <c r="D72" i="2"/>
  <c r="I72" i="2"/>
  <c r="D73" i="2"/>
  <c r="I73" i="2"/>
  <c r="D74" i="2"/>
  <c r="I74" i="2"/>
  <c r="D75" i="2"/>
  <c r="I75" i="2"/>
  <c r="D76" i="2"/>
  <c r="I76" i="2"/>
  <c r="D77" i="2"/>
  <c r="I77" i="2"/>
  <c r="D78" i="2"/>
  <c r="I78" i="2"/>
  <c r="D79" i="2"/>
  <c r="I79" i="2"/>
  <c r="D80" i="2"/>
  <c r="I80" i="2"/>
  <c r="D81" i="2"/>
  <c r="I81" i="2"/>
  <c r="D82" i="2"/>
  <c r="I82" i="2"/>
  <c r="D83" i="2"/>
  <c r="I83" i="2"/>
  <c r="D84" i="2"/>
  <c r="I84" i="2"/>
  <c r="D85" i="2"/>
  <c r="I85" i="2"/>
  <c r="D86" i="2"/>
  <c r="I86" i="2"/>
  <c r="D87" i="2"/>
  <c r="I87" i="2"/>
  <c r="D88" i="2"/>
  <c r="I88" i="2"/>
  <c r="D89" i="2"/>
  <c r="I89" i="2"/>
  <c r="D90" i="2"/>
  <c r="I90" i="2"/>
  <c r="D91" i="2"/>
  <c r="I91" i="2"/>
  <c r="D92" i="2"/>
  <c r="I92" i="2"/>
  <c r="D93" i="2"/>
  <c r="I93" i="2"/>
  <c r="D94" i="2"/>
  <c r="I94" i="2"/>
  <c r="D95" i="2"/>
  <c r="I95" i="2"/>
  <c r="D96" i="2"/>
  <c r="I96" i="2"/>
  <c r="D97" i="2"/>
  <c r="I97" i="2"/>
  <c r="D98" i="2"/>
  <c r="I98" i="2"/>
  <c r="D99" i="2"/>
  <c r="I99" i="2"/>
  <c r="D100" i="2"/>
  <c r="I100" i="2"/>
  <c r="D101" i="2"/>
  <c r="I101" i="2"/>
  <c r="D102" i="2"/>
  <c r="I102" i="2"/>
  <c r="D103" i="2"/>
  <c r="I103" i="2"/>
  <c r="D104" i="2"/>
  <c r="I104" i="2"/>
  <c r="AA107" i="2"/>
  <c r="AC107" i="2"/>
  <c r="AA108" i="2"/>
  <c r="AC108" i="2"/>
  <c r="AA109" i="2"/>
  <c r="AC109" i="2"/>
  <c r="AA110" i="2"/>
  <c r="AC110" i="2"/>
  <c r="AA111" i="2"/>
  <c r="AC111" i="2"/>
  <c r="AA112" i="2"/>
  <c r="AB112" i="2"/>
  <c r="AE112" i="2" s="1"/>
  <c r="AC112" i="2"/>
  <c r="AA113" i="2"/>
  <c r="AB113" i="2"/>
  <c r="AE113" i="2" s="1"/>
  <c r="AC113" i="2"/>
  <c r="AA114" i="2"/>
  <c r="AB114" i="2"/>
  <c r="AE114" i="2" s="1"/>
  <c r="AC114" i="2"/>
  <c r="AA115" i="2"/>
  <c r="AB115" i="2"/>
  <c r="AE115" i="2" s="1"/>
  <c r="AC115" i="2"/>
  <c r="AA116" i="2"/>
  <c r="AB116" i="2"/>
  <c r="AE116" i="2" s="1"/>
  <c r="AC116" i="2"/>
  <c r="J4" i="3"/>
  <c r="N3" i="3"/>
  <c r="I5" i="3"/>
  <c r="D5" i="3" s="1"/>
  <c r="I6" i="3"/>
  <c r="D6" i="3"/>
  <c r="I7" i="3"/>
  <c r="D7" i="3"/>
  <c r="I8" i="3"/>
  <c r="D8" i="3"/>
  <c r="I9" i="3"/>
  <c r="D9" i="3" s="1"/>
  <c r="I12" i="3"/>
  <c r="D12" i="3" s="1"/>
  <c r="I13" i="3"/>
  <c r="D13" i="3"/>
  <c r="I14" i="3"/>
  <c r="I15" i="3"/>
  <c r="D15" i="3"/>
  <c r="I16" i="3"/>
  <c r="D16" i="3" s="1"/>
  <c r="I17" i="3"/>
  <c r="D17" i="3" s="1"/>
  <c r="I18" i="3"/>
  <c r="D18" i="3" s="1"/>
  <c r="I19" i="3"/>
  <c r="D19" i="3"/>
  <c r="I20" i="3"/>
  <c r="D20" i="3" s="1"/>
  <c r="I21" i="3"/>
  <c r="D21" i="3"/>
  <c r="I22" i="3"/>
  <c r="D22" i="3"/>
  <c r="I23" i="3"/>
  <c r="D23" i="3"/>
  <c r="I24" i="3"/>
  <c r="D24" i="3" s="1"/>
  <c r="I26" i="3"/>
  <c r="D26" i="3" s="1"/>
  <c r="I27" i="3"/>
  <c r="D27" i="3" s="1"/>
  <c r="I28" i="3"/>
  <c r="D28" i="3" s="1"/>
  <c r="I29" i="3"/>
  <c r="D29" i="3" s="1"/>
  <c r="I30" i="3"/>
  <c r="D30" i="3"/>
  <c r="I32" i="3"/>
  <c r="D32" i="3" s="1"/>
  <c r="I33" i="3"/>
  <c r="D33" i="3"/>
  <c r="D35" i="3"/>
  <c r="I36" i="3"/>
  <c r="D36" i="3"/>
  <c r="I37" i="3"/>
  <c r="D37" i="3"/>
  <c r="I38" i="3"/>
  <c r="D38" i="3" s="1"/>
  <c r="I39" i="3"/>
  <c r="D39" i="3" s="1"/>
  <c r="I40" i="3"/>
  <c r="D40" i="3"/>
  <c r="I41" i="3"/>
  <c r="D41" i="3" s="1"/>
  <c r="I42" i="3"/>
  <c r="D42" i="3"/>
  <c r="I43" i="3"/>
  <c r="D43" i="3"/>
  <c r="D44" i="3"/>
  <c r="I45" i="3"/>
  <c r="D45" i="3" s="1"/>
  <c r="I46" i="3"/>
  <c r="D46" i="3"/>
  <c r="I47" i="3"/>
  <c r="D47" i="3" s="1"/>
  <c r="I48" i="3"/>
  <c r="D48" i="3"/>
  <c r="I50" i="3"/>
  <c r="D50" i="3"/>
  <c r="I51" i="3"/>
  <c r="D51" i="3" s="1"/>
  <c r="I52" i="3"/>
  <c r="D52" i="3"/>
  <c r="I53" i="3"/>
  <c r="D53" i="3"/>
  <c r="I54" i="3"/>
  <c r="D54" i="3"/>
  <c r="D55" i="3"/>
  <c r="I56" i="3"/>
  <c r="D56" i="3" s="1"/>
  <c r="I57" i="3"/>
  <c r="D57" i="3" s="1"/>
  <c r="I58" i="3"/>
  <c r="D58" i="3" s="1"/>
  <c r="I59" i="3"/>
  <c r="D59" i="3"/>
  <c r="I60" i="3"/>
  <c r="D60" i="3"/>
  <c r="I61" i="3"/>
  <c r="D61" i="3" s="1"/>
  <c r="D62" i="3"/>
  <c r="I62" i="3"/>
  <c r="D63" i="3"/>
  <c r="I63" i="3"/>
  <c r="D64" i="3"/>
  <c r="I64" i="3"/>
  <c r="D65" i="3"/>
  <c r="I65" i="3"/>
  <c r="D66" i="3"/>
  <c r="I66" i="3"/>
  <c r="D67" i="3"/>
  <c r="I67" i="3"/>
  <c r="D68" i="3"/>
  <c r="I68" i="3"/>
  <c r="D69" i="3"/>
  <c r="I69" i="3"/>
  <c r="D70" i="3"/>
  <c r="I70" i="3"/>
  <c r="D71" i="3"/>
  <c r="I71" i="3"/>
  <c r="D72" i="3"/>
  <c r="I72" i="3"/>
  <c r="D73" i="3"/>
  <c r="I73" i="3"/>
  <c r="D74" i="3"/>
  <c r="I74" i="3"/>
  <c r="D75" i="3"/>
  <c r="I75" i="3"/>
  <c r="D76" i="3"/>
  <c r="I76" i="3"/>
  <c r="D77" i="3"/>
  <c r="I77" i="3"/>
  <c r="D78" i="3"/>
  <c r="I78" i="3"/>
  <c r="D79" i="3"/>
  <c r="I79" i="3"/>
  <c r="D80" i="3"/>
  <c r="I80" i="3"/>
  <c r="D81" i="3"/>
  <c r="I81" i="3"/>
  <c r="D82" i="3"/>
  <c r="I82" i="3"/>
  <c r="D83" i="3"/>
  <c r="I83" i="3"/>
  <c r="D84" i="3"/>
  <c r="I84" i="3"/>
  <c r="D85" i="3"/>
  <c r="I85" i="3"/>
  <c r="D86" i="3"/>
  <c r="I86" i="3"/>
  <c r="D87" i="3"/>
  <c r="I87" i="3"/>
  <c r="D88" i="3"/>
  <c r="I88" i="3"/>
  <c r="D89" i="3"/>
  <c r="I89" i="3"/>
  <c r="D90" i="3"/>
  <c r="I90" i="3"/>
  <c r="D91" i="3"/>
  <c r="I91" i="3"/>
  <c r="D92" i="3"/>
  <c r="I92" i="3"/>
  <c r="D93" i="3"/>
  <c r="I93" i="3"/>
  <c r="D94" i="3"/>
  <c r="I94" i="3"/>
  <c r="D95" i="3"/>
  <c r="I95" i="3"/>
  <c r="D96" i="3"/>
  <c r="I96" i="3"/>
  <c r="D97" i="3"/>
  <c r="I97" i="3"/>
  <c r="D98" i="3"/>
  <c r="I98" i="3"/>
  <c r="D99" i="3"/>
  <c r="I99" i="3"/>
  <c r="D100" i="3"/>
  <c r="I100" i="3"/>
  <c r="D101" i="3"/>
  <c r="I101" i="3"/>
  <c r="D102" i="3"/>
  <c r="I102" i="3"/>
  <c r="D103" i="3"/>
  <c r="I103" i="3"/>
  <c r="D104" i="3"/>
  <c r="I104" i="3"/>
  <c r="Q107" i="3"/>
  <c r="S107" i="3"/>
  <c r="Q108" i="3"/>
  <c r="S108" i="3"/>
  <c r="Q109" i="3"/>
  <c r="S109" i="3"/>
  <c r="Q110" i="3"/>
  <c r="S110" i="3"/>
  <c r="Q111" i="3"/>
  <c r="S111" i="3"/>
  <c r="Q112" i="3"/>
  <c r="R112" i="3"/>
  <c r="U112" i="3" s="1"/>
  <c r="S112" i="3"/>
  <c r="Q113" i="3"/>
  <c r="R113" i="3"/>
  <c r="U113" i="3" s="1"/>
  <c r="S113" i="3"/>
  <c r="Q114" i="3"/>
  <c r="R114" i="3"/>
  <c r="U114" i="3" s="1"/>
  <c r="S114" i="3"/>
  <c r="Q115" i="3"/>
  <c r="R115" i="3"/>
  <c r="U115" i="3" s="1"/>
  <c r="S115" i="3"/>
  <c r="Q116" i="3"/>
  <c r="R116" i="3"/>
  <c r="U116" i="3" s="1"/>
  <c r="S116" i="3"/>
  <c r="AD111" i="2"/>
  <c r="W3" i="2"/>
  <c r="V3" i="2"/>
  <c r="N3" i="2"/>
  <c r="T107" i="3"/>
  <c r="T116" i="3"/>
  <c r="T115" i="3"/>
  <c r="T109" i="3"/>
  <c r="T111" i="3"/>
  <c r="K3" i="2"/>
  <c r="Q3" i="2"/>
  <c r="AD110" i="2"/>
  <c r="U3" i="2"/>
  <c r="X3" i="2"/>
  <c r="AD114" i="2"/>
  <c r="O3" i="2"/>
  <c r="AD116" i="2"/>
  <c r="R3" i="2"/>
  <c r="AD108" i="2"/>
  <c r="AD107" i="2"/>
  <c r="AD113" i="2"/>
  <c r="M3" i="2"/>
  <c r="J3" i="2"/>
  <c r="AD112" i="2"/>
  <c r="S3" i="2"/>
  <c r="L3" i="2"/>
  <c r="T3" i="2"/>
  <c r="AD109" i="2"/>
  <c r="AD115" i="2"/>
  <c r="K3" i="3"/>
  <c r="J3" i="3"/>
  <c r="T110" i="3"/>
  <c r="T112" i="3"/>
  <c r="L3" i="3"/>
  <c r="M3" i="3"/>
  <c r="T114" i="3"/>
  <c r="T108" i="3"/>
  <c r="T113" i="3"/>
  <c r="R107" i="3" l="1"/>
  <c r="U107" i="3" s="1"/>
  <c r="R111" i="3"/>
  <c r="U111" i="3" s="1"/>
  <c r="R109" i="3"/>
  <c r="U109" i="3" s="1"/>
  <c r="D14" i="3"/>
  <c r="AB109" i="2"/>
  <c r="AE109" i="2" s="1"/>
  <c r="R108" i="3"/>
  <c r="U108" i="3" s="1"/>
  <c r="R110" i="3"/>
  <c r="U11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Ohzu</author>
  </authors>
  <commentList>
    <comment ref="D1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現在のタスクの状態
ここは記入しない！
</t>
        </r>
      </text>
    </comment>
    <comment ref="E1" authorId="0" shapeId="0" xr:uid="{00000000-0006-0000-03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スケジュール表の日付。
一度記入をしたら変更しない。
</t>
        </r>
      </text>
    </comment>
    <comment ref="F1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タスクを開始した日付を入力。
開始まで入力しない。</t>
        </r>
      </text>
    </comment>
    <comment ref="G1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初期の見積もり時間を記入する。
一度記入をしたら変更しない。</t>
        </r>
      </text>
    </comment>
    <comment ref="H1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実作業時間を記入する。
作業を行ったら更新する。</t>
        </r>
      </text>
    </comment>
    <comment ref="I1" authorId="0" shapeId="0" xr:uid="{00000000-0006-0000-03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現時点の残作業時間。
ここは記入しない！</t>
        </r>
      </text>
    </comment>
    <comment ref="J1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毎回更新する。
タスクの見積もり時間は調整しながら増減させる。
終了したら０になる。</t>
        </r>
      </text>
    </comment>
    <comment ref="J4" authorId="0" shapeId="0" xr:uid="{00000000-0006-0000-03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残作業時間の合計。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Ohzu</author>
  </authors>
  <commentList>
    <comment ref="D1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現在のタスクの状態
ここは記入しない！
</t>
        </r>
      </text>
    </comment>
    <comment ref="E1" authorId="0" shapeId="0" xr:uid="{00000000-0006-0000-04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スケジュール表の日付。
一度記入をしたら変更しない。
</t>
        </r>
      </text>
    </comment>
    <comment ref="F1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タスクを開始した日付を入力。
開始まで入力しない。</t>
        </r>
      </text>
    </comment>
    <comment ref="G1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初期の見積もり時間を記入する。
一度記入をしたら変更しない。</t>
        </r>
      </text>
    </comment>
    <comment ref="H1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実作業時間を記入する。
作業を行ったら更新する。</t>
        </r>
      </text>
    </comment>
    <comment ref="I1" authorId="0" shapeId="0" xr:uid="{00000000-0006-0000-04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現時点の残作業時間。
ここは記入しない！</t>
        </r>
      </text>
    </comment>
    <comment ref="J1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毎回更新する。
タスクの見積もり時間は調整しながら増減させる。
終了したら０になる。</t>
        </r>
      </text>
    </comment>
    <comment ref="J4" authorId="0" shapeId="0" xr:uid="{00000000-0006-0000-0400-000008000000}">
      <text>
        <r>
          <rPr>
            <sz val="9"/>
            <color rgb="FF000000"/>
            <rFont val="ＭＳ Ｐゴシック"/>
            <family val="2"/>
            <charset val="128"/>
          </rPr>
          <t>残作業時間の合計。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</text>
    </comment>
    <comment ref="K4" authorId="0" shapeId="0" xr:uid="{00000000-0006-0000-0400-000009000000}">
      <text>
        <r>
          <rPr>
            <sz val="9"/>
            <color rgb="FF000000"/>
            <rFont val="ＭＳ Ｐゴシック"/>
            <family val="2"/>
            <charset val="128"/>
          </rPr>
          <t>残作業時間の合計。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</text>
    </comment>
    <comment ref="L4" authorId="0" shapeId="0" xr:uid="{00000000-0006-0000-04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残作業時間の合計。
</t>
        </r>
      </text>
    </comment>
  </commentList>
</comments>
</file>

<file path=xl/sharedStrings.xml><?xml version="1.0" encoding="utf-8"?>
<sst xmlns="http://schemas.openxmlformats.org/spreadsheetml/2006/main" count="449" uniqueCount="212">
  <si>
    <t>TGSチーム制作予定表</t>
    <rPh sb="6" eb="8">
      <t>セイサク</t>
    </rPh>
    <rPh sb="8" eb="11">
      <t>ヨテイヒョウ</t>
    </rPh>
    <phoneticPr fontId="4"/>
  </si>
  <si>
    <t>４月</t>
    <rPh sb="1" eb="2">
      <t>ガツ</t>
    </rPh>
    <phoneticPr fontId="4"/>
  </si>
  <si>
    <t>更新日</t>
    <rPh sb="0" eb="3">
      <t>コウシンビ</t>
    </rPh>
    <phoneticPr fontId="4"/>
  </si>
  <si>
    <t>月</t>
    <rPh sb="0" eb="1">
      <t>ゲツ</t>
    </rPh>
    <phoneticPr fontId="4"/>
  </si>
  <si>
    <t>火</t>
  </si>
  <si>
    <t>水</t>
  </si>
  <si>
    <t>木</t>
  </si>
  <si>
    <t>金</t>
  </si>
  <si>
    <t>土</t>
  </si>
  <si>
    <t>日</t>
  </si>
  <si>
    <t>学校開始</t>
    <rPh sb="0" eb="2">
      <t>ガッコウ</t>
    </rPh>
    <rPh sb="2" eb="4">
      <t>カイシ</t>
    </rPh>
    <phoneticPr fontId="4"/>
  </si>
  <si>
    <t>企画チェック日【一日】</t>
    <rPh sb="0" eb="2">
      <t>キカク</t>
    </rPh>
    <rPh sb="6" eb="7">
      <t>ビ</t>
    </rPh>
    <rPh sb="8" eb="10">
      <t>イチニチ</t>
    </rPh>
    <phoneticPr fontId="4"/>
  </si>
  <si>
    <t>合同企業説明会【午後】</t>
    <rPh sb="0" eb="7">
      <t>ゴウドウキギョウセツメイカイ</t>
    </rPh>
    <rPh sb="8" eb="10">
      <t>ゴゴ</t>
    </rPh>
    <phoneticPr fontId="4"/>
  </si>
  <si>
    <t>巡回（小林、石川、吉冨）</t>
    <rPh sb="0" eb="2">
      <t>ジュンカイ</t>
    </rPh>
    <rPh sb="3" eb="5">
      <t>コバヤシ</t>
    </rPh>
    <rPh sb="6" eb="8">
      <t>イシカワ</t>
    </rPh>
    <rPh sb="9" eb="11">
      <t>ヨシトミ</t>
    </rPh>
    <phoneticPr fontId="4"/>
  </si>
  <si>
    <t>巡回（小林、石川）</t>
    <rPh sb="0" eb="2">
      <t>ジュンカイ</t>
    </rPh>
    <rPh sb="3" eb="5">
      <t>コバヤシ</t>
    </rPh>
    <rPh sb="6" eb="8">
      <t>イシカワ</t>
    </rPh>
    <phoneticPr fontId="4"/>
  </si>
  <si>
    <t>残り日数：80日</t>
    <rPh sb="0" eb="1">
      <t>ノコ</t>
    </rPh>
    <rPh sb="2" eb="4">
      <t>ニッスウ</t>
    </rPh>
    <rPh sb="7" eb="8">
      <t>ニチ</t>
    </rPh>
    <phoneticPr fontId="4"/>
  </si>
  <si>
    <t>CGコースプレゼン会【午後】</t>
    <rPh sb="9" eb="10">
      <t>カイ</t>
    </rPh>
    <rPh sb="11" eb="13">
      <t>ゴゴ</t>
    </rPh>
    <phoneticPr fontId="4"/>
  </si>
  <si>
    <t>蒲田合同企業説明会</t>
    <rPh sb="0" eb="2">
      <t>カマタ</t>
    </rPh>
    <rPh sb="2" eb="4">
      <t>ゴウドウ</t>
    </rPh>
    <rPh sb="4" eb="6">
      <t>キギョウ</t>
    </rPh>
    <rPh sb="6" eb="9">
      <t>セツメイカイ</t>
    </rPh>
    <phoneticPr fontId="4"/>
  </si>
  <si>
    <t>プロト・企画発表会</t>
    <rPh sb="4" eb="6">
      <t>キカク</t>
    </rPh>
    <rPh sb="6" eb="9">
      <t>ハッピョウカイ</t>
    </rPh>
    <phoneticPr fontId="4"/>
  </si>
  <si>
    <t>GW開始</t>
    <rPh sb="2" eb="4">
      <t>カイシ</t>
    </rPh>
    <phoneticPr fontId="4"/>
  </si>
  <si>
    <t>プロト版前日確認</t>
    <rPh sb="3" eb="4">
      <t>バン</t>
    </rPh>
    <rPh sb="4" eb="6">
      <t>ゼンジツ</t>
    </rPh>
    <rPh sb="6" eb="8">
      <t>カクニン</t>
    </rPh>
    <phoneticPr fontId="4"/>
  </si>
  <si>
    <t>学校あるので注意</t>
    <rPh sb="0" eb="2">
      <t>ガッコウ</t>
    </rPh>
    <rPh sb="6" eb="8">
      <t>チュウイ</t>
    </rPh>
    <phoneticPr fontId="4"/>
  </si>
  <si>
    <t>残り日数：62日</t>
    <rPh sb="0" eb="1">
      <t>ノコ</t>
    </rPh>
    <rPh sb="2" eb="4">
      <t>ニッスウ</t>
    </rPh>
    <rPh sb="7" eb="8">
      <t>ニチ</t>
    </rPh>
    <phoneticPr fontId="4"/>
  </si>
  <si>
    <t>５月</t>
    <rPh sb="1" eb="2">
      <t>ガツ</t>
    </rPh>
    <phoneticPr fontId="4"/>
  </si>
  <si>
    <t>創立記念日</t>
    <rPh sb="0" eb="5">
      <t>ソウリツキネンビ</t>
    </rPh>
    <phoneticPr fontId="4"/>
  </si>
  <si>
    <t>29日振替、臨時休業日</t>
    <rPh sb="2" eb="3">
      <t>ニチ</t>
    </rPh>
    <rPh sb="3" eb="5">
      <t>フリカエ</t>
    </rPh>
    <rPh sb="6" eb="10">
      <t>リンジキュウギョウ</t>
    </rPh>
    <rPh sb="10" eb="11">
      <t>ビ</t>
    </rPh>
    <phoneticPr fontId="4"/>
  </si>
  <si>
    <t>憲法記念日</t>
    <rPh sb="0" eb="5">
      <t>ケンポウキネンビ</t>
    </rPh>
    <phoneticPr fontId="4"/>
  </si>
  <si>
    <t>みどりの日</t>
    <rPh sb="4" eb="5">
      <t>ヒ</t>
    </rPh>
    <phoneticPr fontId="4"/>
  </si>
  <si>
    <t>こどもの日</t>
    <rPh sb="4" eb="5">
      <t>ヒ</t>
    </rPh>
    <phoneticPr fontId="4"/>
  </si>
  <si>
    <t>平常授業開始</t>
    <rPh sb="0" eb="2">
      <t>ヘイジョウ</t>
    </rPh>
    <rPh sb="2" eb="4">
      <t>ジュギョウ</t>
    </rPh>
    <rPh sb="4" eb="6">
      <t>カイシ</t>
    </rPh>
    <phoneticPr fontId="4"/>
  </si>
  <si>
    <t>プロト再チェック</t>
    <rPh sb="3" eb="4">
      <t>サイ</t>
    </rPh>
    <phoneticPr fontId="4"/>
  </si>
  <si>
    <t>チーム制作</t>
    <rPh sb="3" eb="5">
      <t>セイサク</t>
    </rPh>
    <phoneticPr fontId="4"/>
  </si>
  <si>
    <t>残り日数：50日</t>
    <rPh sb="0" eb="1">
      <t>ノコ</t>
    </rPh>
    <rPh sb="2" eb="4">
      <t>ニッスウ</t>
    </rPh>
    <rPh sb="7" eb="8">
      <t>ニチ</t>
    </rPh>
    <phoneticPr fontId="4"/>
  </si>
  <si>
    <t>α版チェック</t>
    <rPh sb="1" eb="2">
      <t>バン</t>
    </rPh>
    <phoneticPr fontId="4"/>
  </si>
  <si>
    <t>体育祭準備（午後休講）</t>
    <rPh sb="0" eb="3">
      <t>タイイクサイ</t>
    </rPh>
    <rPh sb="3" eb="5">
      <t>ジュンビ</t>
    </rPh>
    <rPh sb="6" eb="8">
      <t>ゴゴ</t>
    </rPh>
    <rPh sb="8" eb="10">
      <t>キュウコウ</t>
    </rPh>
    <phoneticPr fontId="4"/>
  </si>
  <si>
    <t>体育祭</t>
    <rPh sb="0" eb="3">
      <t>タイイクサイ</t>
    </rPh>
    <phoneticPr fontId="4"/>
  </si>
  <si>
    <t>残り日数：38日</t>
    <rPh sb="0" eb="1">
      <t>ノコ</t>
    </rPh>
    <rPh sb="2" eb="4">
      <t>ニッスウ</t>
    </rPh>
    <rPh sb="7" eb="8">
      <t>ニチ</t>
    </rPh>
    <phoneticPr fontId="4"/>
  </si>
  <si>
    <t>残り日数：30日</t>
    <rPh sb="0" eb="1">
      <t>ノコ</t>
    </rPh>
    <rPh sb="2" eb="4">
      <t>ニッスウ</t>
    </rPh>
    <rPh sb="7" eb="8">
      <t>ニチ</t>
    </rPh>
    <phoneticPr fontId="4"/>
  </si>
  <si>
    <t>６月</t>
    <rPh sb="1" eb="2">
      <t>ガツ</t>
    </rPh>
    <phoneticPr fontId="4"/>
  </si>
  <si>
    <t>PV制作開始予定（絵コンテ）</t>
    <rPh sb="2" eb="4">
      <t>セイサク</t>
    </rPh>
    <rPh sb="4" eb="6">
      <t>カイシ</t>
    </rPh>
    <rPh sb="6" eb="8">
      <t>ヨテイ</t>
    </rPh>
    <rPh sb="9" eb="10">
      <t>エ</t>
    </rPh>
    <phoneticPr fontId="4"/>
  </si>
  <si>
    <t>β版チェック</t>
    <rPh sb="1" eb="2">
      <t>バン</t>
    </rPh>
    <phoneticPr fontId="4"/>
  </si>
  <si>
    <t>書類作成予定</t>
    <rPh sb="0" eb="2">
      <t>ショルイ</t>
    </rPh>
    <rPh sb="2" eb="4">
      <t>サクセイ</t>
    </rPh>
    <rPh sb="4" eb="6">
      <t>ヨテイ</t>
    </rPh>
    <phoneticPr fontId="4"/>
  </si>
  <si>
    <t>残り日数:17日</t>
    <rPh sb="0" eb="1">
      <t>ノコ</t>
    </rPh>
    <rPh sb="2" eb="4">
      <t>ニッスウ</t>
    </rPh>
    <rPh sb="7" eb="8">
      <t>ニチ</t>
    </rPh>
    <phoneticPr fontId="4"/>
  </si>
  <si>
    <t>書類提出＆PV確認</t>
    <rPh sb="0" eb="2">
      <t>ショルイ</t>
    </rPh>
    <rPh sb="2" eb="4">
      <t>テイシュツ</t>
    </rPh>
    <rPh sb="7" eb="9">
      <t>カクニン</t>
    </rPh>
    <phoneticPr fontId="4"/>
  </si>
  <si>
    <t>M版チェック＆作品提出</t>
    <rPh sb="1" eb="2">
      <t>バン</t>
    </rPh>
    <rPh sb="7" eb="9">
      <t>サクヒン</t>
    </rPh>
    <rPh sb="9" eb="11">
      <t>テイシュツ</t>
    </rPh>
    <phoneticPr fontId="4"/>
  </si>
  <si>
    <t>TGS提出前日</t>
    <rPh sb="3" eb="5">
      <t>テイシュツ</t>
    </rPh>
    <rPh sb="5" eb="7">
      <t>ゼンジツ</t>
    </rPh>
    <phoneticPr fontId="4"/>
  </si>
  <si>
    <t>TGS締め切り</t>
    <rPh sb="3" eb="4">
      <t>シ</t>
    </rPh>
    <rPh sb="5" eb="6">
      <t>キ</t>
    </rPh>
    <phoneticPr fontId="4"/>
  </si>
  <si>
    <t>PV（修正版）確認</t>
    <rPh sb="3" eb="5">
      <t>シュウセイ</t>
    </rPh>
    <rPh sb="5" eb="6">
      <t>バン</t>
    </rPh>
    <rPh sb="7" eb="9">
      <t>カクニン</t>
    </rPh>
    <phoneticPr fontId="4"/>
  </si>
  <si>
    <t>番号</t>
    <rPh sb="0" eb="2">
      <t>バンゴウ</t>
    </rPh>
    <phoneticPr fontId="4"/>
  </si>
  <si>
    <t>タスク</t>
    <phoneticPr fontId="4"/>
  </si>
  <si>
    <t>担当者</t>
    <rPh sb="0" eb="3">
      <t>タントウシャ</t>
    </rPh>
    <phoneticPr fontId="4"/>
  </si>
  <si>
    <t>状態</t>
    <rPh sb="0" eb="2">
      <t>ジョウタイ</t>
    </rPh>
    <phoneticPr fontId="4"/>
  </si>
  <si>
    <t>予定日</t>
    <rPh sb="0" eb="2">
      <t>ヨテイ</t>
    </rPh>
    <rPh sb="2" eb="3">
      <t>ビ</t>
    </rPh>
    <phoneticPr fontId="4"/>
  </si>
  <si>
    <t>開始日</t>
    <rPh sb="0" eb="3">
      <t>カイシビ</t>
    </rPh>
    <phoneticPr fontId="4"/>
  </si>
  <si>
    <t>見積もり</t>
    <rPh sb="0" eb="2">
      <t>ミツ</t>
    </rPh>
    <phoneticPr fontId="4"/>
  </si>
  <si>
    <t>実作業</t>
    <rPh sb="0" eb="1">
      <t>ジツ</t>
    </rPh>
    <rPh sb="1" eb="3">
      <t>サギョウ</t>
    </rPh>
    <phoneticPr fontId="4"/>
  </si>
  <si>
    <t>残作業</t>
    <rPh sb="0" eb="1">
      <t>ザン</t>
    </rPh>
    <rPh sb="1" eb="3">
      <t>サギョウ</t>
    </rPh>
    <phoneticPr fontId="4"/>
  </si>
  <si>
    <t>残作業時間</t>
    <rPh sb="0" eb="1">
      <t>ノコ</t>
    </rPh>
    <rPh sb="1" eb="3">
      <t>サギョウ</t>
    </rPh>
    <rPh sb="3" eb="5">
      <t>ジカン</t>
    </rPh>
    <phoneticPr fontId="4"/>
  </si>
  <si>
    <t>4/11</t>
    <phoneticPr fontId="4"/>
  </si>
  <si>
    <t>4/12</t>
    <phoneticPr fontId="4"/>
  </si>
  <si>
    <t>4/13</t>
    <phoneticPr fontId="4"/>
  </si>
  <si>
    <t>4/14</t>
    <phoneticPr fontId="4"/>
  </si>
  <si>
    <t>4/17</t>
    <phoneticPr fontId="4"/>
  </si>
  <si>
    <t>4/18</t>
    <phoneticPr fontId="4"/>
  </si>
  <si>
    <t>4/19</t>
    <phoneticPr fontId="4"/>
  </si>
  <si>
    <t>4/20</t>
    <phoneticPr fontId="4"/>
  </si>
  <si>
    <t>4/21</t>
    <phoneticPr fontId="4"/>
  </si>
  <si>
    <t>4/24</t>
    <phoneticPr fontId="4"/>
  </si>
  <si>
    <t>4/25</t>
    <phoneticPr fontId="4"/>
  </si>
  <si>
    <t>4/26</t>
    <phoneticPr fontId="4"/>
  </si>
  <si>
    <t>4/27</t>
    <phoneticPr fontId="4"/>
  </si>
  <si>
    <t>4/28</t>
    <phoneticPr fontId="4"/>
  </si>
  <si>
    <t>4/29</t>
    <phoneticPr fontId="4"/>
  </si>
  <si>
    <t>判定</t>
    <rPh sb="0" eb="2">
      <t>ハンテイ</t>
    </rPh>
    <phoneticPr fontId="4"/>
  </si>
  <si>
    <t>・線分</t>
    <rPh sb="1" eb="3">
      <t>センブン</t>
    </rPh>
    <phoneticPr fontId="4"/>
  </si>
  <si>
    <t>SIM</t>
  </si>
  <si>
    <t>・矩形</t>
    <rPh sb="1" eb="3">
      <t>クケイ</t>
    </rPh>
    <phoneticPr fontId="4"/>
  </si>
  <si>
    <t>・円</t>
    <rPh sb="1" eb="2">
      <t>エン</t>
    </rPh>
    <phoneticPr fontId="4"/>
  </si>
  <si>
    <t>・線分の交点算出</t>
    <rPh sb="1" eb="3">
      <t>センブン</t>
    </rPh>
    <rPh sb="4" eb="6">
      <t>コウテン</t>
    </rPh>
    <rPh sb="6" eb="8">
      <t>サンシュツ</t>
    </rPh>
    <phoneticPr fontId="4"/>
  </si>
  <si>
    <t>カメラ(draw用のpos設定)</t>
    <rPh sb="8" eb="9">
      <t>ヨウ</t>
    </rPh>
    <rPh sb="13" eb="15">
      <t>セッテイ</t>
    </rPh>
    <phoneticPr fontId="4"/>
  </si>
  <si>
    <t>振り子の計算</t>
    <rPh sb="0" eb="1">
      <t>フ</t>
    </rPh>
    <rPh sb="2" eb="3">
      <t>コ</t>
    </rPh>
    <rPh sb="4" eb="6">
      <t>ケイサン</t>
    </rPh>
    <phoneticPr fontId="4"/>
  </si>
  <si>
    <t>桑原</t>
  </si>
  <si>
    <t>振り子の計算(共同制作)</t>
    <rPh sb="0" eb="1">
      <t>フ</t>
    </rPh>
    <rPh sb="2" eb="3">
      <t>コ</t>
    </rPh>
    <rPh sb="4" eb="6">
      <t>ケイサン</t>
    </rPh>
    <rPh sb="7" eb="9">
      <t>キョウドウ</t>
    </rPh>
    <rPh sb="9" eb="11">
      <t>セイサク</t>
    </rPh>
    <phoneticPr fontId="4"/>
  </si>
  <si>
    <t>プレイヤー</t>
    <phoneticPr fontId="4"/>
  </si>
  <si>
    <t>・ベースクラス作成(プレイヤーのベース)</t>
    <rPh sb="7" eb="9">
      <t>サクセイ</t>
    </rPh>
    <phoneticPr fontId="4"/>
  </si>
  <si>
    <t>・Headのベース設計</t>
    <rPh sb="9" eb="11">
      <t>セッケイ</t>
    </rPh>
    <phoneticPr fontId="4"/>
  </si>
  <si>
    <t>杉浦</t>
  </si>
  <si>
    <t>・HeadとPlayerの連結</t>
    <rPh sb="13" eb="15">
      <t>レンケツ</t>
    </rPh>
    <phoneticPr fontId="4"/>
  </si>
  <si>
    <t>・Playerの回転の補間</t>
    <rPh sb="8" eb="10">
      <t>カイテン</t>
    </rPh>
    <rPh sb="11" eb="13">
      <t>ホカン</t>
    </rPh>
    <phoneticPr fontId="4"/>
  </si>
  <si>
    <t>・噛み付き</t>
    <rPh sb="1" eb="2">
      <t>カ</t>
    </rPh>
    <rPh sb="3" eb="4">
      <t>ツ</t>
    </rPh>
    <phoneticPr fontId="4"/>
  </si>
  <si>
    <t>・チェーンの合計値設定、他が縮むように変更</t>
    <rPh sb="6" eb="9">
      <t>ゴウケイチ</t>
    </rPh>
    <rPh sb="9" eb="11">
      <t>セッテイ</t>
    </rPh>
    <rPh sb="12" eb="13">
      <t>ホカ</t>
    </rPh>
    <rPh sb="14" eb="15">
      <t>チヂ</t>
    </rPh>
    <rPh sb="19" eb="21">
      <t>ヘンコウ</t>
    </rPh>
    <phoneticPr fontId="4"/>
  </si>
  <si>
    <t>・リングの自動回転(左側のHeadが離れた時点で回転)</t>
    <rPh sb="5" eb="7">
      <t>ジドウ</t>
    </rPh>
    <rPh sb="7" eb="9">
      <t>カイテン</t>
    </rPh>
    <rPh sb="10" eb="12">
      <t>ヒダリガワ</t>
    </rPh>
    <rPh sb="18" eb="19">
      <t>ハナ</t>
    </rPh>
    <rPh sb="21" eb="23">
      <t>ジテン</t>
    </rPh>
    <rPh sb="24" eb="26">
      <t>カイテン</t>
    </rPh>
    <phoneticPr fontId="4"/>
  </si>
  <si>
    <t>・スティックの左右押し込みで、それぞれ左右1Head分回転</t>
    <rPh sb="7" eb="9">
      <t>サユウ</t>
    </rPh>
    <rPh sb="9" eb="10">
      <t>オ</t>
    </rPh>
    <rPh sb="11" eb="12">
      <t>コ</t>
    </rPh>
    <rPh sb="19" eb="21">
      <t>サユウ</t>
    </rPh>
    <rPh sb="26" eb="27">
      <t>ブン</t>
    </rPh>
    <rPh sb="27" eb="29">
      <t>カイテン</t>
    </rPh>
    <phoneticPr fontId="4"/>
  </si>
  <si>
    <t>・Headを、ボタン押してる間にチャージ、離した時に一気に発射</t>
    <rPh sb="10" eb="11">
      <t>オ</t>
    </rPh>
    <rPh sb="14" eb="15">
      <t>アイダ</t>
    </rPh>
    <rPh sb="21" eb="22">
      <t>ハナ</t>
    </rPh>
    <rPh sb="24" eb="25">
      <t>トキ</t>
    </rPh>
    <rPh sb="26" eb="28">
      <t>イッキ</t>
    </rPh>
    <rPh sb="29" eb="31">
      <t>ハッシャ</t>
    </rPh>
    <phoneticPr fontId="4"/>
  </si>
  <si>
    <t>・Headが落ちるようにする(左隣のチェーンから)</t>
    <rPh sb="6" eb="7">
      <t>オ</t>
    </rPh>
    <rPh sb="15" eb="16">
      <t>ヒダリ</t>
    </rPh>
    <rPh sb="16" eb="17">
      <t>トナリ</t>
    </rPh>
    <phoneticPr fontId="4"/>
  </si>
  <si>
    <t>・Playerがズリ落ちる(10秒),、時間に応じて赤くなっていく</t>
    <rPh sb="10" eb="11">
      <t>オ</t>
    </rPh>
    <rPh sb="16" eb="17">
      <t>ビョウ</t>
    </rPh>
    <rPh sb="20" eb="22">
      <t>ジカン</t>
    </rPh>
    <rPh sb="23" eb="24">
      <t>オウ</t>
    </rPh>
    <rPh sb="26" eb="27">
      <t>アカ</t>
    </rPh>
    <phoneticPr fontId="4"/>
  </si>
  <si>
    <t>・Headの補給(優先度は時計回り)</t>
    <rPh sb="6" eb="8">
      <t>ホキュウ</t>
    </rPh>
    <rPh sb="9" eb="12">
      <t>ユウセンド</t>
    </rPh>
    <rPh sb="13" eb="16">
      <t>トケイマワ</t>
    </rPh>
    <phoneticPr fontId="4"/>
  </si>
  <si>
    <t>・振り子で飛ぶ</t>
    <rPh sb="1" eb="2">
      <t>フ</t>
    </rPh>
    <rPh sb="3" eb="4">
      <t>コ</t>
    </rPh>
    <rPh sb="5" eb="6">
      <t>ト</t>
    </rPh>
    <phoneticPr fontId="4"/>
  </si>
  <si>
    <t>空中で回転する</t>
    <rPh sb="0" eb="2">
      <t>クウチュウ</t>
    </rPh>
    <rPh sb="3" eb="5">
      <t>カイテン</t>
    </rPh>
    <phoneticPr fontId="4"/>
  </si>
  <si>
    <t>・Headが噛み付いている対象の種類を取得出来るようにする</t>
    <rPh sb="6" eb="7">
      <t>カ</t>
    </rPh>
    <rPh sb="8" eb="9">
      <t>ツ</t>
    </rPh>
    <rPh sb="13" eb="15">
      <t>タイショウ</t>
    </rPh>
    <rPh sb="16" eb="18">
      <t>シュルイ</t>
    </rPh>
    <rPh sb="19" eb="21">
      <t>シュトク</t>
    </rPh>
    <rPh sb="21" eb="23">
      <t>デキ</t>
    </rPh>
    <phoneticPr fontId="4"/>
  </si>
  <si>
    <t>acterのレーン分割対応</t>
    <rPh sb="9" eb="11">
      <t>ブンカツ</t>
    </rPh>
    <rPh sb="11" eb="13">
      <t>タイオウ</t>
    </rPh>
    <phoneticPr fontId="4"/>
  </si>
  <si>
    <t>プレイヤーのレーン分割対応</t>
    <rPh sb="9" eb="11">
      <t>ブンカツ</t>
    </rPh>
    <rPh sb="11" eb="13">
      <t>タイオウ</t>
    </rPh>
    <phoneticPr fontId="4"/>
  </si>
  <si>
    <t>・プレイヤーのコントローラー設定</t>
    <rPh sb="14" eb="16">
      <t>セッテイ</t>
    </rPh>
    <phoneticPr fontId="4"/>
  </si>
  <si>
    <t>ステージ</t>
    <phoneticPr fontId="4"/>
  </si>
  <si>
    <t>・服のベース作成</t>
    <rPh sb="1" eb="2">
      <t>フク</t>
    </rPh>
    <rPh sb="6" eb="8">
      <t>サクセイ</t>
    </rPh>
    <phoneticPr fontId="4"/>
  </si>
  <si>
    <t>・ゴム付き服(振り子の飛距離が伸びる服)作成</t>
    <rPh sb="3" eb="4">
      <t>ツ</t>
    </rPh>
    <rPh sb="5" eb="6">
      <t>フク</t>
    </rPh>
    <rPh sb="7" eb="8">
      <t>フ</t>
    </rPh>
    <rPh sb="9" eb="10">
      <t>コ</t>
    </rPh>
    <rPh sb="11" eb="14">
      <t>ヒキョリ</t>
    </rPh>
    <rPh sb="15" eb="16">
      <t>ノ</t>
    </rPh>
    <rPh sb="18" eb="19">
      <t>フク</t>
    </rPh>
    <rPh sb="20" eb="22">
      <t>サクセイ</t>
    </rPh>
    <phoneticPr fontId="4"/>
  </si>
  <si>
    <t>・薄い素材(ずり落ちが早くなる)作成</t>
    <rPh sb="1" eb="2">
      <t>ウス</t>
    </rPh>
    <rPh sb="3" eb="5">
      <t>ソザイ</t>
    </rPh>
    <rPh sb="8" eb="9">
      <t>オ</t>
    </rPh>
    <rPh sb="11" eb="12">
      <t>ハヤ</t>
    </rPh>
    <rPh sb="16" eb="18">
      <t>サクセイ</t>
    </rPh>
    <phoneticPr fontId="4"/>
  </si>
  <si>
    <t>・柔軟剤を使ってる服(ずり落ちない服)作成</t>
    <rPh sb="1" eb="4">
      <t>ジュウナンザイ</t>
    </rPh>
    <rPh sb="5" eb="6">
      <t>ツカ</t>
    </rPh>
    <rPh sb="9" eb="10">
      <t>フク</t>
    </rPh>
    <rPh sb="13" eb="14">
      <t>オ</t>
    </rPh>
    <rPh sb="17" eb="18">
      <t>フク</t>
    </rPh>
    <rPh sb="19" eb="21">
      <t>サクセイ</t>
    </rPh>
    <phoneticPr fontId="4"/>
  </si>
  <si>
    <t>・ハンガー(乗ったら動き始める床)作成</t>
    <rPh sb="6" eb="7">
      <t>ノ</t>
    </rPh>
    <rPh sb="10" eb="11">
      <t>ウゴ</t>
    </rPh>
    <rPh sb="12" eb="13">
      <t>ハジ</t>
    </rPh>
    <rPh sb="15" eb="16">
      <t>ユカ</t>
    </rPh>
    <rPh sb="17" eb="19">
      <t>サクセイ</t>
    </rPh>
    <phoneticPr fontId="4"/>
  </si>
  <si>
    <t>ステージの中央レーン以外の半透明化処理</t>
    <rPh sb="5" eb="7">
      <t>チュウオウ</t>
    </rPh>
    <rPh sb="10" eb="12">
      <t>イガイ</t>
    </rPh>
    <rPh sb="13" eb="17">
      <t>ハントウメイカ</t>
    </rPh>
    <rPh sb="17" eb="19">
      <t>ショリ</t>
    </rPh>
    <phoneticPr fontId="4"/>
  </si>
  <si>
    <t>・毛玉(毛玉のいる所だけ掴めない)作成</t>
    <rPh sb="1" eb="3">
      <t>ケダマ</t>
    </rPh>
    <rPh sb="4" eb="6">
      <t>ケダマ</t>
    </rPh>
    <rPh sb="9" eb="10">
      <t>トコロ</t>
    </rPh>
    <rPh sb="12" eb="13">
      <t>ツカ</t>
    </rPh>
    <rPh sb="17" eb="19">
      <t>サクセイ</t>
    </rPh>
    <phoneticPr fontId="4"/>
  </si>
  <si>
    <t>・ゴール地点作成(接触でクリア)</t>
    <rPh sb="4" eb="6">
      <t>チテン</t>
    </rPh>
    <rPh sb="6" eb="8">
      <t>サクセイ</t>
    </rPh>
    <rPh sb="9" eb="11">
      <t>セッショク</t>
    </rPh>
    <phoneticPr fontId="4"/>
  </si>
  <si>
    <t>・ゲームオーバー条件追加(Head全滅or落下死)</t>
    <rPh sb="8" eb="10">
      <t>ジョウケン</t>
    </rPh>
    <rPh sb="10" eb="12">
      <t>ツイカ</t>
    </rPh>
    <rPh sb="17" eb="19">
      <t>ゼンメツ</t>
    </rPh>
    <rPh sb="21" eb="23">
      <t>ラッカ</t>
    </rPh>
    <rPh sb="23" eb="24">
      <t>シ</t>
    </rPh>
    <phoneticPr fontId="4"/>
  </si>
  <si>
    <t>MapGenerator作成</t>
    <rPh sb="12" eb="14">
      <t>サクセイ</t>
    </rPh>
    <phoneticPr fontId="4"/>
  </si>
  <si>
    <t>UI</t>
    <phoneticPr fontId="4"/>
  </si>
  <si>
    <t>・ステージ進行度メーターの作成</t>
    <rPh sb="5" eb="8">
      <t>シンコウド</t>
    </rPh>
    <rPh sb="13" eb="15">
      <t>サクセイ</t>
    </rPh>
    <phoneticPr fontId="4"/>
  </si>
  <si>
    <t>コントローラー対応</t>
    <rPh sb="7" eb="9">
      <t>タイオウ</t>
    </rPh>
    <phoneticPr fontId="4"/>
  </si>
  <si>
    <t>リザルト作成</t>
    <rPh sb="4" eb="6">
      <t>サクセイ</t>
    </rPh>
    <phoneticPr fontId="4"/>
  </si>
  <si>
    <t>宮内</t>
  </si>
  <si>
    <t>企画</t>
    <rPh sb="0" eb="2">
      <t>キカク</t>
    </rPh>
    <phoneticPr fontId="4"/>
  </si>
  <si>
    <t>斉藤</t>
  </si>
  <si>
    <t>企画書構築</t>
    <rPh sb="0" eb="2">
      <t>キカク</t>
    </rPh>
    <rPh sb="2" eb="3">
      <t>ショ</t>
    </rPh>
    <rPh sb="3" eb="5">
      <t>コウチク</t>
    </rPh>
    <phoneticPr fontId="4"/>
  </si>
  <si>
    <t>企画修正</t>
    <rPh sb="0" eb="2">
      <t>キカク</t>
    </rPh>
    <rPh sb="2" eb="4">
      <t>シュウセイ</t>
    </rPh>
    <phoneticPr fontId="4"/>
  </si>
  <si>
    <t>プレイヤー仕様書</t>
    <rPh sb="5" eb="8">
      <t>シヨウショ</t>
    </rPh>
    <phoneticPr fontId="4"/>
  </si>
  <si>
    <t>服仕様書</t>
    <rPh sb="0" eb="1">
      <t>フク</t>
    </rPh>
    <rPh sb="1" eb="4">
      <t>シヨウショ</t>
    </rPh>
    <phoneticPr fontId="4"/>
  </si>
  <si>
    <t>プレイヤー各種データ仕様書</t>
    <rPh sb="5" eb="7">
      <t>カクシュ</t>
    </rPh>
    <rPh sb="10" eb="13">
      <t>シヨウショ</t>
    </rPh>
    <phoneticPr fontId="4"/>
  </si>
  <si>
    <t>ＵＩ仕様書</t>
    <rPh sb="2" eb="5">
      <t>シヨウショ</t>
    </rPh>
    <phoneticPr fontId="4"/>
  </si>
  <si>
    <t>シーン仕様書</t>
    <rPh sb="3" eb="6">
      <t>シヨウショ</t>
    </rPh>
    <phoneticPr fontId="4"/>
  </si>
  <si>
    <t>ゲーム画面の仕様</t>
    <rPh sb="3" eb="5">
      <t>ガメン</t>
    </rPh>
    <rPh sb="6" eb="8">
      <t>シヨウ</t>
    </rPh>
    <phoneticPr fontId="4"/>
  </si>
  <si>
    <t>タイトル仕様書</t>
    <rPh sb="4" eb="7">
      <t>シヨウショ</t>
    </rPh>
    <phoneticPr fontId="4"/>
  </si>
  <si>
    <t>ロゴシーン仕様書</t>
    <rPh sb="5" eb="8">
      <t>シヨウショ</t>
    </rPh>
    <phoneticPr fontId="4"/>
  </si>
  <si>
    <t>リザルト仕様書</t>
    <rPh sb="4" eb="7">
      <t>シヨウショ</t>
    </rPh>
    <phoneticPr fontId="4"/>
  </si>
  <si>
    <t>プレゼン用企画書構築</t>
    <rPh sb="4" eb="5">
      <t>ヨウ</t>
    </rPh>
    <rPh sb="5" eb="8">
      <t>キカクショ</t>
    </rPh>
    <rPh sb="8" eb="10">
      <t>コウチク</t>
    </rPh>
    <phoneticPr fontId="4"/>
  </si>
  <si>
    <t>担当者名</t>
    <rPh sb="0" eb="2">
      <t>タントウ</t>
    </rPh>
    <rPh sb="2" eb="3">
      <t>シャ</t>
    </rPh>
    <rPh sb="3" eb="4">
      <t>メイ</t>
    </rPh>
    <phoneticPr fontId="4"/>
  </si>
  <si>
    <t>残時間</t>
    <rPh sb="0" eb="1">
      <t>ザン</t>
    </rPh>
    <rPh sb="1" eb="3">
      <t>ジカン</t>
    </rPh>
    <phoneticPr fontId="4"/>
  </si>
  <si>
    <t>遅延時間</t>
    <rPh sb="0" eb="2">
      <t>チエン</t>
    </rPh>
    <rPh sb="2" eb="4">
      <t>ジカン</t>
    </rPh>
    <phoneticPr fontId="4"/>
  </si>
  <si>
    <t>斉藤</t>
    <rPh sb="0" eb="2">
      <t>サイトウ</t>
    </rPh>
    <phoneticPr fontId="4"/>
  </si>
  <si>
    <t>宮内</t>
    <rPh sb="0" eb="2">
      <t>ミヤウチ</t>
    </rPh>
    <phoneticPr fontId="4"/>
  </si>
  <si>
    <t>SIM</t>
    <phoneticPr fontId="4"/>
  </si>
  <si>
    <t>杉浦</t>
    <rPh sb="0" eb="2">
      <t>スギウラ</t>
    </rPh>
    <phoneticPr fontId="4"/>
  </si>
  <si>
    <t>桑原</t>
    <rPh sb="0" eb="2">
      <t>クワバラ</t>
    </rPh>
    <phoneticPr fontId="4"/>
  </si>
  <si>
    <t>番号</t>
  </si>
  <si>
    <t>タスク</t>
  </si>
  <si>
    <t>担当者</t>
  </si>
  <si>
    <t>状態</t>
  </si>
  <si>
    <t>予定日</t>
  </si>
  <si>
    <t>開始日</t>
  </si>
  <si>
    <t>見積もり</t>
  </si>
  <si>
    <t>実作業</t>
  </si>
  <si>
    <t>残作業</t>
  </si>
  <si>
    <t>残作業時間</t>
  </si>
  <si>
    <t>5/9</t>
    <phoneticPr fontId="4"/>
  </si>
  <si>
    <t>5/12</t>
    <phoneticPr fontId="4"/>
  </si>
  <si>
    <t>5/16</t>
    <phoneticPr fontId="4"/>
  </si>
  <si>
    <t>5/19</t>
    <phoneticPr fontId="4"/>
  </si>
  <si>
    <t>5/23</t>
    <phoneticPr fontId="4"/>
  </si>
  <si>
    <t>毛玉（下のレーンに落ちる）</t>
    <rPh sb="0" eb="2">
      <t>ケダマ</t>
    </rPh>
    <rPh sb="3" eb="4">
      <t>シタ</t>
    </rPh>
    <rPh sb="9" eb="10">
      <t>オ</t>
    </rPh>
    <phoneticPr fontId="4"/>
  </si>
  <si>
    <t>レーン分割</t>
    <rPh sb="3" eb="5">
      <t>ブンカツ</t>
    </rPh>
    <phoneticPr fontId="4"/>
  </si>
  <si>
    <t>風</t>
    <rPh sb="0" eb="1">
      <t>カゼ</t>
    </rPh>
    <phoneticPr fontId="4"/>
  </si>
  <si>
    <t>ステージ選択画面のスクロール</t>
    <rPh sb="4" eb="6">
      <t>センタク</t>
    </rPh>
    <rPh sb="6" eb="8">
      <t>ガメン</t>
    </rPh>
    <phoneticPr fontId="4"/>
  </si>
  <si>
    <t>ステージ1制作(調整必須）</t>
    <rPh sb="5" eb="7">
      <t>セイサク</t>
    </rPh>
    <rPh sb="8" eb="10">
      <t>チョウセイ</t>
    </rPh>
    <rPh sb="10" eb="12">
      <t>ヒッス</t>
    </rPh>
    <phoneticPr fontId="4"/>
  </si>
  <si>
    <t>風の吹く速さ調整</t>
    <rPh sb="0" eb="1">
      <t>カゼ</t>
    </rPh>
    <rPh sb="2" eb="3">
      <t>フ</t>
    </rPh>
    <rPh sb="4" eb="5">
      <t>ハヤ</t>
    </rPh>
    <rPh sb="6" eb="8">
      <t>チョウセイ</t>
    </rPh>
    <phoneticPr fontId="4"/>
  </si>
  <si>
    <t>ステージ選択画面</t>
    <rPh sb="4" eb="6">
      <t>センタク</t>
    </rPh>
    <rPh sb="6" eb="8">
      <t>ガメン</t>
    </rPh>
    <phoneticPr fontId="4"/>
  </si>
  <si>
    <t>リザルト</t>
    <phoneticPr fontId="4"/>
  </si>
  <si>
    <t>MapGeneratorのレーン対応</t>
    <phoneticPr fontId="4"/>
  </si>
  <si>
    <t>多重振り子をヌルヌル動かす</t>
  </si>
  <si>
    <t>レーン移動の補間変更</t>
  </si>
  <si>
    <t>レーンの最大値を可変に</t>
  </si>
  <si>
    <t>風自動で吹くように</t>
  </si>
  <si>
    <t>Headの当たり判定改善</t>
  </si>
  <si>
    <t>Headが外れる、Posをいじれる関数を作った</t>
  </si>
  <si>
    <t>エフェクトリスト</t>
    <phoneticPr fontId="4"/>
  </si>
  <si>
    <t>風実装デバック</t>
    <rPh sb="0" eb="1">
      <t>カゼ</t>
    </rPh>
    <rPh sb="1" eb="3">
      <t>ジッソウ</t>
    </rPh>
    <phoneticPr fontId="4"/>
  </si>
  <si>
    <t>服の判定の変更</t>
    <rPh sb="0" eb="1">
      <t>フク</t>
    </rPh>
    <rPh sb="2" eb="4">
      <t>ハンテイ</t>
    </rPh>
    <rPh sb="5" eb="7">
      <t>ヘンコウ</t>
    </rPh>
    <phoneticPr fontId="4"/>
  </si>
  <si>
    <t>タイトル</t>
    <phoneticPr fontId="4"/>
  </si>
  <si>
    <t>スコア仕様書</t>
    <rPh sb="3" eb="6">
      <t>シヨウショ</t>
    </rPh>
    <phoneticPr fontId="4"/>
  </si>
  <si>
    <t>二階と柵の描画</t>
    <rPh sb="0" eb="2">
      <t>ニカイ</t>
    </rPh>
    <rPh sb="3" eb="4">
      <t>サク</t>
    </rPh>
    <rPh sb="5" eb="7">
      <t>ビョウガ</t>
    </rPh>
    <phoneticPr fontId="4"/>
  </si>
  <si>
    <t>世界観の設定</t>
    <rPh sb="0" eb="3">
      <t>セカイカン</t>
    </rPh>
    <rPh sb="4" eb="6">
      <t>セッテイ</t>
    </rPh>
    <phoneticPr fontId="4"/>
  </si>
  <si>
    <t>風（演出）</t>
    <rPh sb="2" eb="4">
      <t>エンシュツ</t>
    </rPh>
    <phoneticPr fontId="4"/>
  </si>
  <si>
    <t>ゲームスタート演出</t>
    <rPh sb="7" eb="9">
      <t>エンシュツ</t>
    </rPh>
    <phoneticPr fontId="4"/>
  </si>
  <si>
    <t>ハンガーの移動</t>
    <rPh sb="5" eb="7">
      <t>イドウ</t>
    </rPh>
    <phoneticPr fontId="4"/>
  </si>
  <si>
    <t>ハンガーによるプレイヤー移動</t>
    <rPh sb="12" eb="14">
      <t>イドウ</t>
    </rPh>
    <phoneticPr fontId="4"/>
  </si>
  <si>
    <t>gameplayのクリア対応</t>
    <rPh sb="12" eb="14">
      <t>タイオウ</t>
    </rPh>
    <phoneticPr fontId="4"/>
  </si>
  <si>
    <t>ゲームオーバーのバク修正</t>
    <rPh sb="10" eb="12">
      <t>シュウセイ</t>
    </rPh>
    <phoneticPr fontId="4"/>
  </si>
  <si>
    <t>Pheadを新しい服に対応</t>
    <rPh sb="6" eb="7">
      <t>アタラ</t>
    </rPh>
    <rPh sb="9" eb="10">
      <t>フク</t>
    </rPh>
    <rPh sb="11" eb="13">
      <t>タイオウ</t>
    </rPh>
    <phoneticPr fontId="4"/>
  </si>
  <si>
    <t>GamePlayの更新</t>
    <rPh sb="9" eb="11">
      <t>コウシン</t>
    </rPh>
    <phoneticPr fontId="4"/>
  </si>
  <si>
    <t>風による服の揺れの作成</t>
    <phoneticPr fontId="4"/>
  </si>
  <si>
    <t>スタート演出の速度変更</t>
    <rPh sb="4" eb="6">
      <t>エンシュツ</t>
    </rPh>
    <rPh sb="7" eb="9">
      <t>ソクド</t>
    </rPh>
    <rPh sb="9" eb="11">
      <t>ヘンコウ</t>
    </rPh>
    <phoneticPr fontId="4"/>
  </si>
  <si>
    <t>落ちたとき専用モード</t>
    <rPh sb="0" eb="1">
      <t>オ</t>
    </rPh>
    <rPh sb="5" eb="7">
      <t>センヨウ</t>
    </rPh>
    <phoneticPr fontId="4"/>
  </si>
  <si>
    <t>レーン描画</t>
    <rPh sb="3" eb="5">
      <t>ビョウガ</t>
    </rPh>
    <phoneticPr fontId="4"/>
  </si>
  <si>
    <t>デバック</t>
    <phoneticPr fontId="4"/>
  </si>
  <si>
    <t>ステージ修正</t>
    <rPh sb="4" eb="6">
      <t>シュウセイ</t>
    </rPh>
    <phoneticPr fontId="4"/>
  </si>
  <si>
    <t>風のフレーム修正</t>
    <rPh sb="0" eb="1">
      <t>カゼ</t>
    </rPh>
    <rPh sb="6" eb="8">
      <t>シュウセイ</t>
    </rPh>
    <phoneticPr fontId="4"/>
  </si>
  <si>
    <t>ゲームスタート時のボタン入力による移動速度増加</t>
    <phoneticPr fontId="4"/>
  </si>
  <si>
    <t>レーンのCSV</t>
    <phoneticPr fontId="4"/>
  </si>
  <si>
    <t>柵</t>
    <rPh sb="0" eb="1">
      <t>サク</t>
    </rPh>
    <phoneticPr fontId="4"/>
  </si>
  <si>
    <t>風のエフェクトリソース</t>
    <rPh sb="0" eb="1">
      <t>カゼ</t>
    </rPh>
    <phoneticPr fontId="4"/>
  </si>
  <si>
    <t>レーン移動時の風エフェクト</t>
    <rPh sb="3" eb="5">
      <t>イドウ</t>
    </rPh>
    <rPh sb="5" eb="6">
      <t>ジ</t>
    </rPh>
    <rPh sb="7" eb="8">
      <t>カゼ</t>
    </rPh>
    <phoneticPr fontId="4"/>
  </si>
  <si>
    <t>振子エフェクト</t>
    <rPh sb="0" eb="2">
      <t>フリコ</t>
    </rPh>
    <phoneticPr fontId="4"/>
  </si>
  <si>
    <t>回転時の風エフェクト</t>
    <rPh sb="0" eb="2">
      <t>カイテン</t>
    </rPh>
    <rPh sb="2" eb="3">
      <t>ジ</t>
    </rPh>
    <rPh sb="4" eb="5">
      <t>カゼ</t>
    </rPh>
    <phoneticPr fontId="4"/>
  </si>
  <si>
    <t>コード（バグ）修正</t>
    <rPh sb="7" eb="9">
      <t>シュウセイ</t>
    </rPh>
    <phoneticPr fontId="4"/>
  </si>
  <si>
    <t>風の頻度修正</t>
    <rPh sb="0" eb="1">
      <t>カゼ</t>
    </rPh>
    <rPh sb="2" eb="4">
      <t>ヒンド</t>
    </rPh>
    <rPh sb="4" eb="6">
      <t>シュウセイ</t>
    </rPh>
    <phoneticPr fontId="4"/>
  </si>
  <si>
    <t>多重振り子の振れ方の調整</t>
  </si>
  <si>
    <t>風をアクターとしての管理</t>
    <rPh sb="0" eb="1">
      <t>カゼ</t>
    </rPh>
    <rPh sb="10" eb="12">
      <t>カンリ</t>
    </rPh>
    <phoneticPr fontId="4"/>
  </si>
  <si>
    <t>風の生成数、タイミングの変更</t>
  </si>
  <si>
    <t>描画順を可変に</t>
  </si>
  <si>
    <t>開始の時間を可変に</t>
  </si>
  <si>
    <t>上の壁を出す</t>
  </si>
  <si>
    <t>未定</t>
  </si>
  <si>
    <t>担当者名</t>
  </si>
  <si>
    <t>残時間</t>
  </si>
  <si>
    <t>遅延時間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</si>
</sst>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40"/>
      <name val="ＭＳ Ｐゴシック"/>
      <family val="3"/>
      <charset val="128"/>
    </font>
    <font>
      <b/>
      <sz val="10"/>
      <color indexed="1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00B0F0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4"/>
      <name val="ＭＳ Ｐゴシック"/>
      <family val="3"/>
      <charset val="128"/>
    </font>
    <font>
      <sz val="20"/>
      <name val="ＭＳ Ｐゴシック"/>
      <family val="3"/>
      <charset val="128"/>
    </font>
    <font>
      <sz val="9"/>
      <color rgb="FF000000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Protection="1">
      <alignment vertical="center"/>
      <protection locked="0"/>
    </xf>
    <xf numFmtId="58" fontId="5" fillId="0" borderId="1" xfId="0" applyNumberFormat="1" applyFont="1" applyBorder="1" applyAlignment="1" applyProtection="1">
      <alignment horizontal="center" vertical="center"/>
      <protection locked="0"/>
    </xf>
    <xf numFmtId="58" fontId="0" fillId="0" borderId="0" xfId="0" applyNumberFormat="1" applyAlignment="1" applyProtection="1">
      <alignment horizontal="center" vertical="center"/>
      <protection locked="0"/>
    </xf>
    <xf numFmtId="0" fontId="5" fillId="0" borderId="0" xfId="1" applyFont="1" applyProtection="1">
      <alignment vertical="center"/>
      <protection locked="0"/>
    </xf>
    <xf numFmtId="0" fontId="2" fillId="0" borderId="0" xfId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5" fillId="0" borderId="1" xfId="0" applyFont="1" applyBorder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49" fontId="3" fillId="3" borderId="1" xfId="1" applyNumberFormat="1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5" fillId="0" borderId="1" xfId="2" applyFont="1" applyBorder="1" applyAlignment="1" applyProtection="1">
      <alignment horizontal="center" vertical="center"/>
      <protection locked="0"/>
    </xf>
    <xf numFmtId="0" fontId="5" fillId="0" borderId="0" xfId="2" applyFont="1" applyProtection="1">
      <alignment vertical="center"/>
      <protection locked="0"/>
    </xf>
    <xf numFmtId="0" fontId="1" fillId="0" borderId="0" xfId="2" applyProtection="1">
      <alignment vertical="center"/>
      <protection locked="0"/>
    </xf>
    <xf numFmtId="49" fontId="12" fillId="3" borderId="1" xfId="1" applyNumberFormat="1" applyFont="1" applyFill="1" applyBorder="1" applyAlignment="1">
      <alignment horizontal="center" vertical="center"/>
    </xf>
    <xf numFmtId="49" fontId="12" fillId="4" borderId="1" xfId="2" applyNumberFormat="1" applyFont="1" applyFill="1" applyBorder="1" applyAlignment="1">
      <alignment horizontal="center" vertical="center"/>
    </xf>
    <xf numFmtId="49" fontId="13" fillId="4" borderId="1" xfId="2" applyNumberFormat="1" applyFont="1" applyFill="1" applyBorder="1" applyAlignment="1">
      <alignment horizontal="center" vertical="center"/>
    </xf>
    <xf numFmtId="0" fontId="10" fillId="0" borderId="1" xfId="0" applyFont="1" applyBorder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5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2" fillId="0" borderId="1" xfId="1" applyBorder="1" applyProtection="1">
      <alignment vertical="center"/>
      <protection locked="0"/>
    </xf>
    <xf numFmtId="0" fontId="5" fillId="0" borderId="4" xfId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58" fontId="5" fillId="0" borderId="4" xfId="0" applyNumberFormat="1" applyFont="1" applyBorder="1" applyAlignment="1" applyProtection="1">
      <alignment horizontal="center" vertical="center"/>
      <protection locked="0"/>
    </xf>
    <xf numFmtId="58" fontId="0" fillId="0" borderId="1" xfId="0" applyNumberFormat="1" applyBorder="1" applyAlignment="1" applyProtection="1">
      <alignment horizontal="center" vertical="center"/>
      <protection locked="0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11" fillId="0" borderId="2" xfId="0" applyFont="1" applyBorder="1">
      <alignment vertical="center"/>
    </xf>
    <xf numFmtId="0" fontId="11" fillId="0" borderId="3" xfId="0" applyFont="1" applyBorder="1">
      <alignment vertical="center"/>
    </xf>
    <xf numFmtId="0" fontId="14" fillId="0" borderId="3" xfId="0" applyFont="1" applyBorder="1">
      <alignment vertical="center"/>
    </xf>
    <xf numFmtId="0" fontId="0" fillId="0" borderId="3" xfId="0" applyBorder="1">
      <alignment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5" borderId="4" xfId="0" applyFill="1" applyBorder="1">
      <alignment vertical="center"/>
    </xf>
    <xf numFmtId="0" fontId="0" fillId="0" borderId="6" xfId="0" applyBorder="1">
      <alignment vertical="center"/>
    </xf>
    <xf numFmtId="0" fontId="14" fillId="0" borderId="2" xfId="0" applyFont="1" applyBorder="1">
      <alignment vertical="center"/>
    </xf>
    <xf numFmtId="0" fontId="14" fillId="5" borderId="2" xfId="0" applyFont="1" applyFill="1" applyBorder="1">
      <alignment vertical="center"/>
    </xf>
    <xf numFmtId="0" fontId="0" fillId="5" borderId="2" xfId="0" applyFill="1" applyBorder="1">
      <alignment vertical="center"/>
    </xf>
    <xf numFmtId="0" fontId="14" fillId="0" borderId="11" xfId="0" applyFont="1" applyBorder="1">
      <alignment vertical="center"/>
    </xf>
    <xf numFmtId="0" fontId="0" fillId="0" borderId="11" xfId="0" applyBorder="1">
      <alignment vertical="center"/>
    </xf>
    <xf numFmtId="0" fontId="11" fillId="5" borderId="11" xfId="0" applyFont="1" applyFill="1" applyBorder="1">
      <alignment vertical="center"/>
    </xf>
    <xf numFmtId="0" fontId="11" fillId="0" borderId="11" xfId="0" applyFont="1" applyBorder="1">
      <alignment vertical="center"/>
    </xf>
    <xf numFmtId="0" fontId="11" fillId="5" borderId="2" xfId="0" applyFont="1" applyFill="1" applyBorder="1">
      <alignment vertical="center"/>
    </xf>
    <xf numFmtId="0" fontId="0" fillId="0" borderId="5" xfId="0" applyBorder="1">
      <alignment vertical="center"/>
    </xf>
    <xf numFmtId="0" fontId="11" fillId="0" borderId="12" xfId="0" applyFont="1" applyBorder="1">
      <alignment vertical="center"/>
    </xf>
    <xf numFmtId="0" fontId="11" fillId="5" borderId="3" xfId="0" applyFont="1" applyFill="1" applyBorder="1">
      <alignment vertical="center"/>
    </xf>
    <xf numFmtId="0" fontId="0" fillId="5" borderId="3" xfId="0" applyFill="1" applyBorder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5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8" xfId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58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8" xfId="2" applyFill="1" applyBorder="1" applyAlignment="1">
      <alignment horizontal="center" vertical="center"/>
    </xf>
  </cellXfs>
  <cellStyles count="3">
    <cellStyle name="표준" xfId="0" builtinId="0"/>
    <cellStyle name="標準_チーム編成" xfId="1" xr:uid="{00000000-0005-0000-0000-000001000000}"/>
    <cellStyle name="標準_チーム編成_スプリントバックログ（第４）" xfId="2" xr:uid="{00000000-0005-0000-0000-000002000000}"/>
  </cellStyles>
  <dxfs count="263"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55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55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ill>
        <patternFill>
          <bgColor rgb="FFCCECFF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theme="7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FF"/>
        </patternFill>
      </fill>
    </dxf>
    <dxf>
      <font>
        <color rgb="FF9C0006"/>
      </font>
    </dxf>
    <dxf>
      <fill>
        <patternFill>
          <bgColor rgb="FFCCECFF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7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FF"/>
        </patternFill>
      </fill>
    </dxf>
    <dxf>
      <font>
        <color rgb="FF9C0006"/>
      </font>
    </dxf>
    <dxf>
      <fill>
        <patternFill>
          <bgColor rgb="FFCCECFF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theme="7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FF"/>
        </patternFill>
      </fill>
    </dxf>
    <dxf>
      <fill>
        <patternFill>
          <bgColor theme="9" tint="0.79998168889431442"/>
        </patternFill>
      </fill>
    </dxf>
    <dxf>
      <fill>
        <patternFill>
          <bgColor rgb="FFCCECFF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theme="7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FF"/>
        </patternFill>
      </fill>
    </dxf>
    <dxf>
      <font>
        <color rgb="FF9C0006"/>
      </font>
    </dxf>
    <dxf>
      <font>
        <color rgb="FF9C0006"/>
      </font>
    </dxf>
    <dxf>
      <fill>
        <patternFill>
          <bgColor rgb="FFCCFFCC"/>
        </patternFill>
      </fill>
    </dxf>
    <dxf>
      <fill>
        <patternFill>
          <bgColor theme="7" tint="0.79998168889431442"/>
        </patternFill>
      </fill>
    </dxf>
    <dxf>
      <fill>
        <patternFill>
          <bgColor rgb="FFCCE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ill>
        <patternFill>
          <bgColor rgb="FFCCFFFF"/>
        </patternFill>
      </fill>
    </dxf>
    <dxf>
      <fill>
        <patternFill>
          <bgColor rgb="FFCCFF99"/>
        </patternFill>
      </fill>
    </dxf>
    <dxf>
      <fill>
        <patternFill>
          <bgColor rgb="FFCCFFCC"/>
        </patternFill>
      </fill>
    </dxf>
    <dxf>
      <fill>
        <patternFill>
          <bgColor rgb="FFFFFF99"/>
        </patternFill>
      </fill>
    </dxf>
    <dxf>
      <font>
        <condense val="0"/>
        <extend val="0"/>
        <color indexed="55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ill>
        <patternFill>
          <bgColor theme="7" tint="0.79998168889431442"/>
        </patternFill>
      </fill>
    </dxf>
    <dxf>
      <font>
        <color rgb="FF9C0006"/>
      </font>
    </dxf>
    <dxf>
      <fill>
        <patternFill>
          <bgColor rgb="FFCCFFFF"/>
        </patternFill>
      </fill>
    </dxf>
    <dxf>
      <fill>
        <patternFill>
          <bgColor rgb="FFCCFF99"/>
        </patternFill>
      </fill>
    </dxf>
    <dxf>
      <fill>
        <patternFill>
          <bgColor rgb="FFCCFFCC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CCECFF"/>
        </patternFill>
      </fill>
    </dxf>
    <dxf>
      <fill>
        <patternFill>
          <bgColor rgb="FFCCFFFF"/>
        </patternFill>
      </fill>
    </dxf>
    <dxf>
      <fill>
        <patternFill>
          <bgColor rgb="FFCCFF99"/>
        </patternFill>
      </fill>
    </dxf>
    <dxf>
      <fill>
        <patternFill>
          <bgColor theme="7" tint="0.79998168889431442"/>
        </patternFill>
      </fill>
    </dxf>
    <dxf>
      <fill>
        <patternFill>
          <bgColor rgb="FFCCFFCC"/>
        </patternFill>
      </fill>
    </dxf>
    <dxf>
      <font>
        <color rgb="FF9C0006"/>
      </font>
    </dxf>
    <dxf>
      <fill>
        <patternFill>
          <bgColor theme="9" tint="0.79998168889431442"/>
        </patternFill>
      </fill>
    </dxf>
    <dxf>
      <fill>
        <patternFill>
          <bgColor rgb="FFCCECFF"/>
        </patternFill>
      </fill>
    </dxf>
    <dxf>
      <fill>
        <patternFill>
          <bgColor rgb="FFFFFF99"/>
        </patternFill>
      </fill>
    </dxf>
    <dxf>
      <fill>
        <patternFill>
          <bgColor rgb="FFCCECFF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theme="7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FF"/>
        </patternFill>
      </fill>
    </dxf>
    <dxf>
      <font>
        <color rgb="FF9C0006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CCECFF"/>
        </patternFill>
      </fill>
    </dxf>
    <dxf>
      <fill>
        <patternFill>
          <bgColor rgb="FFFFFF99"/>
        </patternFill>
      </fill>
    </dxf>
    <dxf>
      <font>
        <color rgb="FF9C0006"/>
      </font>
    </dxf>
    <dxf>
      <fill>
        <patternFill>
          <bgColor rgb="FFCCFFFF"/>
        </patternFill>
      </fill>
    </dxf>
    <dxf>
      <fill>
        <patternFill>
          <bgColor rgb="FFCCFF99"/>
        </patternFill>
      </fill>
    </dxf>
    <dxf>
      <fill>
        <patternFill>
          <bgColor theme="7" tint="0.79998168889431442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color rgb="FF9C0006"/>
      </font>
    </dxf>
    <dxf>
      <fill>
        <patternFill>
          <bgColor rgb="FFCCECFF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theme="7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FF"/>
        </patternFill>
      </fill>
    </dxf>
    <dxf>
      <fill>
        <patternFill>
          <bgColor rgb="FFCCFF99"/>
        </patternFill>
      </fill>
    </dxf>
    <dxf>
      <font>
        <color rgb="FF9C0006"/>
      </font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theme="7" tint="0.79998168889431442"/>
        </patternFill>
      </fill>
    </dxf>
    <dxf>
      <fill>
        <patternFill>
          <bgColor rgb="FFCCECFF"/>
        </patternFill>
      </fill>
    </dxf>
    <dxf>
      <fill>
        <patternFill>
          <bgColor theme="9" tint="0.79998168889431442"/>
        </patternFill>
      </fill>
    </dxf>
    <dxf>
      <fill>
        <patternFill>
          <bgColor rgb="FFCCFFCC"/>
        </patternFill>
      </fill>
    </dxf>
    <dxf>
      <fill>
        <patternFill>
          <bgColor theme="7" tint="0.79998168889431442"/>
        </patternFill>
      </fill>
    </dxf>
    <dxf>
      <fill>
        <patternFill>
          <bgColor rgb="FFCCFF99"/>
        </patternFill>
      </fill>
    </dxf>
    <dxf>
      <fill>
        <patternFill>
          <bgColor rgb="FFCCFFFF"/>
        </patternFill>
      </fill>
    </dxf>
    <dxf>
      <font>
        <color rgb="FF9C0006"/>
      </font>
    </dxf>
    <dxf>
      <fill>
        <patternFill>
          <bgColor rgb="FFCCECFF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55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2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400" b="0" i="0" u="none" strike="noStrike" baseline="0">
                <a:solidFill>
                  <a:srgbClr val="800000"/>
                </a:solidFill>
                <a:latin typeface="HGS創英角ｺﾞｼｯｸUB"/>
                <a:ea typeface="HGS創英角ｺﾞｼｯｸUB"/>
                <a:cs typeface="HGS創英角ｺﾞｼｯｸUB"/>
              </a:defRPr>
            </a:pPr>
            <a:r>
              <a:rPr lang="ja-JP" altLang="en-US"/>
              <a:t>バーンダウンチャート</a:t>
            </a:r>
          </a:p>
        </c:rich>
      </c:tx>
      <c:layout>
        <c:manualLayout>
          <c:xMode val="edge"/>
          <c:yMode val="edge"/>
          <c:x val="0.34829754976280142"/>
          <c:y val="3.0302926108035623E-2"/>
        </c:manualLayout>
      </c:layout>
      <c:overlay val="0"/>
      <c:spPr>
        <a:solidFill>
          <a:srgbClr val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1899075363924"/>
          <c:y val="0.15800899200358495"/>
          <c:w val="0.63467540232213437"/>
          <c:h val="0.64502300845299065"/>
        </c:manualLayout>
      </c:layout>
      <c:lineChart>
        <c:grouping val="standard"/>
        <c:varyColors val="0"/>
        <c:ser>
          <c:idx val="0"/>
          <c:order val="0"/>
          <c:tx>
            <c:strRef>
              <c:f>'スプリントバックログ(プロト）'!$J$1</c:f>
              <c:strCache>
                <c:ptCount val="1"/>
                <c:pt idx="0">
                  <c:v>残作業時間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933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'スプリントバックログ(プロト）'!$J$2:$X$2</c:f>
              <c:strCache>
                <c:ptCount val="15"/>
                <c:pt idx="0">
                  <c:v>4/11</c:v>
                </c:pt>
                <c:pt idx="1">
                  <c:v>4/12</c:v>
                </c:pt>
                <c:pt idx="2">
                  <c:v>4/13</c:v>
                </c:pt>
                <c:pt idx="3">
                  <c:v>4/14</c:v>
                </c:pt>
                <c:pt idx="4">
                  <c:v>4/17</c:v>
                </c:pt>
                <c:pt idx="5">
                  <c:v>4/18</c:v>
                </c:pt>
                <c:pt idx="6">
                  <c:v>4/19</c:v>
                </c:pt>
                <c:pt idx="7">
                  <c:v>4/20</c:v>
                </c:pt>
                <c:pt idx="8">
                  <c:v>4/21</c:v>
                </c:pt>
                <c:pt idx="9">
                  <c:v>4/24</c:v>
                </c:pt>
                <c:pt idx="10">
                  <c:v>4/25</c:v>
                </c:pt>
                <c:pt idx="11">
                  <c:v>4/26</c:v>
                </c:pt>
                <c:pt idx="12">
                  <c:v>4/27</c:v>
                </c:pt>
                <c:pt idx="13">
                  <c:v>4/28</c:v>
                </c:pt>
                <c:pt idx="14">
                  <c:v>4/29</c:v>
                </c:pt>
              </c:strCache>
            </c:strRef>
          </c:cat>
          <c:val>
            <c:numRef>
              <c:f>'スプリントバックログ(プロト）'!$J$4:$X$4</c:f>
              <c:numCache>
                <c:formatCode>General</c:formatCode>
                <c:ptCount val="15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41</c:v>
                </c:pt>
                <c:pt idx="5">
                  <c:v>35</c:v>
                </c:pt>
                <c:pt idx="6">
                  <c:v>27</c:v>
                </c:pt>
                <c:pt idx="7">
                  <c:v>17</c:v>
                </c:pt>
                <c:pt idx="8">
                  <c:v>10</c:v>
                </c:pt>
                <c:pt idx="9">
                  <c:v>7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B-42D4-A846-F4BE4E1329CF}"/>
            </c:ext>
          </c:extLst>
        </c:ser>
        <c:ser>
          <c:idx val="1"/>
          <c:order val="1"/>
          <c:tx>
            <c:v>理想時間</c:v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strRef>
              <c:f>'スプリントバックログ(プロト）'!$J$2:$X$2</c:f>
              <c:strCache>
                <c:ptCount val="15"/>
                <c:pt idx="0">
                  <c:v>4/11</c:v>
                </c:pt>
                <c:pt idx="1">
                  <c:v>4/12</c:v>
                </c:pt>
                <c:pt idx="2">
                  <c:v>4/13</c:v>
                </c:pt>
                <c:pt idx="3">
                  <c:v>4/14</c:v>
                </c:pt>
                <c:pt idx="4">
                  <c:v>4/17</c:v>
                </c:pt>
                <c:pt idx="5">
                  <c:v>4/18</c:v>
                </c:pt>
                <c:pt idx="6">
                  <c:v>4/19</c:v>
                </c:pt>
                <c:pt idx="7">
                  <c:v>4/20</c:v>
                </c:pt>
                <c:pt idx="8">
                  <c:v>4/21</c:v>
                </c:pt>
                <c:pt idx="9">
                  <c:v>4/24</c:v>
                </c:pt>
                <c:pt idx="10">
                  <c:v>4/25</c:v>
                </c:pt>
                <c:pt idx="11">
                  <c:v>4/26</c:v>
                </c:pt>
                <c:pt idx="12">
                  <c:v>4/27</c:v>
                </c:pt>
                <c:pt idx="13">
                  <c:v>4/28</c:v>
                </c:pt>
                <c:pt idx="14">
                  <c:v>4/29</c:v>
                </c:pt>
              </c:strCache>
            </c:strRef>
          </c:cat>
          <c:val>
            <c:numRef>
              <c:f>'スプリントバックログ(プロト）'!$J$3:$X$3</c:f>
              <c:numCache>
                <c:formatCode>General</c:formatCode>
                <c:ptCount val="15"/>
                <c:pt idx="0">
                  <c:v>88</c:v>
                </c:pt>
                <c:pt idx="1">
                  <c:v>82</c:v>
                </c:pt>
                <c:pt idx="2">
                  <c:v>76</c:v>
                </c:pt>
                <c:pt idx="3">
                  <c:v>70</c:v>
                </c:pt>
                <c:pt idx="4">
                  <c:v>64</c:v>
                </c:pt>
                <c:pt idx="5">
                  <c:v>58</c:v>
                </c:pt>
                <c:pt idx="6">
                  <c:v>52</c:v>
                </c:pt>
                <c:pt idx="7">
                  <c:v>46</c:v>
                </c:pt>
                <c:pt idx="8">
                  <c:v>41</c:v>
                </c:pt>
                <c:pt idx="9">
                  <c:v>35</c:v>
                </c:pt>
                <c:pt idx="10">
                  <c:v>29</c:v>
                </c:pt>
                <c:pt idx="11">
                  <c:v>23</c:v>
                </c:pt>
                <c:pt idx="12">
                  <c:v>17</c:v>
                </c:pt>
                <c:pt idx="13">
                  <c:v>11</c:v>
                </c:pt>
                <c:pt idx="14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0B-42D4-A846-F4BE4E132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373280"/>
        <c:axId val="1"/>
      </c:lineChart>
      <c:catAx>
        <c:axId val="34437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 sz="1150" b="0" i="0" u="none" strike="noStrike" baseline="0">
                    <a:solidFill>
                      <a:srgbClr val="0000FF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作業日</a:t>
                </a:r>
              </a:p>
            </c:rich>
          </c:tx>
          <c:layout>
            <c:manualLayout>
              <c:xMode val="edge"/>
              <c:yMode val="edge"/>
              <c:x val="0.4195048988441662"/>
              <c:y val="0.91991541450331815"/>
            </c:manualLayout>
          </c:layout>
          <c:overlay val="0"/>
          <c:spPr>
            <a:noFill/>
            <a:ln w="25400">
              <a:noFill/>
            </a:ln>
          </c:spPr>
        </c:title>
        <c:numFmt formatCode="m/d;@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ja-JP" sz="11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Rtl"/>
              <a:lstStyle/>
              <a:p>
                <a:pPr algn="ctr">
                  <a:defRPr lang="ja-JP" sz="1100" b="0" i="0" u="none" strike="noStrike" baseline="0">
                    <a:solidFill>
                      <a:srgbClr val="0000FF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残作業時間</a:t>
                </a:r>
              </a:p>
            </c:rich>
          </c:tx>
          <c:layout>
            <c:manualLayout>
              <c:xMode val="edge"/>
              <c:yMode val="edge"/>
              <c:x val="5.2631518886226178E-2"/>
              <c:y val="0.378788754025834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50" b="0" i="0" u="none" strike="noStrike" baseline="0">
                <a:solidFill>
                  <a:srgbClr val="8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344373280"/>
        <c:crossesAt val="1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05024371953504"/>
          <c:y val="0.43723045536338523"/>
          <c:w val="0.17956668459920777"/>
          <c:h val="8.87448566745751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05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0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450" b="0" i="0" u="none" strike="noStrike" baseline="0">
                <a:solidFill>
                  <a:srgbClr val="800000"/>
                </a:solidFill>
                <a:latin typeface="HG創英角ｺﾞｼｯｸUB"/>
                <a:ea typeface="HG創英角ｺﾞｼｯｸUB"/>
                <a:cs typeface="HG創英角ｺﾞｼｯｸUB"/>
              </a:defRPr>
            </a:pPr>
            <a:r>
              <a:rPr lang="ja-JP" altLang="en-US"/>
              <a:t>担当者別作業時間</a:t>
            </a:r>
          </a:p>
        </c:rich>
      </c:tx>
      <c:layout>
        <c:manualLayout>
          <c:xMode val="edge"/>
          <c:yMode val="edge"/>
          <c:x val="0.3715174190182749"/>
          <c:y val="2.73311858744929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891674798394871E-2"/>
          <c:y val="0.13022518261497582"/>
          <c:w val="0.79876221365419831"/>
          <c:h val="0.85691385597261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'スプリントバックログ(プロト）'!$I$1</c:f>
              <c:strCache>
                <c:ptCount val="1"/>
                <c:pt idx="0">
                  <c:v>残作業</c:v>
                </c:pt>
              </c:strCache>
            </c:strRef>
          </c:tx>
          <c:spPr>
            <a:solidFill>
              <a:srgbClr val="800000"/>
            </a:solidFill>
            <a:ln w="3175">
              <a:solidFill>
                <a:srgbClr val="9933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lang="ja-JP" sz="850" b="0" i="0" u="none" strike="noStrike" baseline="0">
                    <a:solidFill>
                      <a:srgbClr val="FF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'スプリントバックログ(プロト）'!$Z$107:$Z$116</c:f>
              <c:strCache>
                <c:ptCount val="5"/>
                <c:pt idx="0">
                  <c:v>斉藤</c:v>
                </c:pt>
                <c:pt idx="1">
                  <c:v>宮内</c:v>
                </c:pt>
                <c:pt idx="2">
                  <c:v>SIM</c:v>
                </c:pt>
                <c:pt idx="3">
                  <c:v>杉浦</c:v>
                </c:pt>
                <c:pt idx="4">
                  <c:v>桑原</c:v>
                </c:pt>
              </c:strCache>
            </c:strRef>
          </c:cat>
          <c:val>
            <c:numRef>
              <c:f>'スプリントバックログ(プロト）'!$AB$107:$AB$116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0-469B-866B-8320F6E997B3}"/>
            </c:ext>
          </c:extLst>
        </c:ser>
        <c:ser>
          <c:idx val="1"/>
          <c:order val="1"/>
          <c:tx>
            <c:strRef>
              <c:f>'スプリントバックログ(プロト）'!$H$1</c:f>
              <c:strCache>
                <c:ptCount val="1"/>
                <c:pt idx="0">
                  <c:v>実作業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FF66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lang="ja-JP" sz="850" b="0" i="0" u="none" strike="noStrike" baseline="0">
                    <a:solidFill>
                      <a:srgbClr val="FF66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'スプリントバックログ(プロト）'!$Z$107:$Z$116</c:f>
              <c:strCache>
                <c:ptCount val="5"/>
                <c:pt idx="0">
                  <c:v>斉藤</c:v>
                </c:pt>
                <c:pt idx="1">
                  <c:v>宮内</c:v>
                </c:pt>
                <c:pt idx="2">
                  <c:v>SIM</c:v>
                </c:pt>
                <c:pt idx="3">
                  <c:v>杉浦</c:v>
                </c:pt>
                <c:pt idx="4">
                  <c:v>桑原</c:v>
                </c:pt>
              </c:strCache>
            </c:strRef>
          </c:cat>
          <c:val>
            <c:numRef>
              <c:f>'スプリントバックログ(プロト）'!$AC$107:$AC$116</c:f>
              <c:numCache>
                <c:formatCode>General</c:formatCode>
                <c:ptCount val="10"/>
                <c:pt idx="0">
                  <c:v>36</c:v>
                </c:pt>
                <c:pt idx="1">
                  <c:v>1</c:v>
                </c:pt>
                <c:pt idx="2">
                  <c:v>24</c:v>
                </c:pt>
                <c:pt idx="3">
                  <c:v>17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0-469B-866B-8320F6E997B3}"/>
            </c:ext>
          </c:extLst>
        </c:ser>
        <c:ser>
          <c:idx val="2"/>
          <c:order val="2"/>
          <c:tx>
            <c:strRef>
              <c:f>'スプリントバックログ(プロト）'!$G$1</c:f>
              <c:strCache>
                <c:ptCount val="1"/>
                <c:pt idx="0">
                  <c:v>見積もり</c:v>
                </c:pt>
              </c:strCache>
            </c:strRef>
          </c:tx>
          <c:spPr>
            <a:solidFill>
              <a:srgbClr val="CCFFFF"/>
            </a:solidFill>
            <a:ln w="3175">
              <a:solidFill>
                <a:srgbClr val="00808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lang="ja-JP" sz="825" b="0" i="0" u="none" strike="noStrike" baseline="0">
                    <a:solidFill>
                      <a:srgbClr val="339966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'スプリントバックログ(プロト）'!$AA$107:$AA$116</c:f>
              <c:numCache>
                <c:formatCode>General</c:formatCode>
                <c:ptCount val="10"/>
                <c:pt idx="0">
                  <c:v>36</c:v>
                </c:pt>
                <c:pt idx="1">
                  <c:v>1</c:v>
                </c:pt>
                <c:pt idx="2">
                  <c:v>29</c:v>
                </c:pt>
                <c:pt idx="3">
                  <c:v>17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0-469B-866B-8320F6E997B3}"/>
            </c:ext>
          </c:extLst>
        </c:ser>
        <c:ser>
          <c:idx val="3"/>
          <c:order val="3"/>
          <c:tx>
            <c:strRef>
              <c:f>'スプリントバックログ(プロト）'!$AE$106</c:f>
              <c:strCache>
                <c:ptCount val="1"/>
                <c:pt idx="0">
                  <c:v>遅延時間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993366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lang="ja-JP" sz="825" b="0" i="0" u="none" strike="noStrike" baseline="0">
                    <a:solidFill>
                      <a:srgbClr val="FF00FF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'スプリントバックログ(プロト）'!$AE$107:$AE$116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0-469B-866B-8320F6E99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811752"/>
        <c:axId val="1"/>
      </c:barChart>
      <c:catAx>
        <c:axId val="344811752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t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50" b="0" i="0" u="none" strike="noStrike" baseline="0">
                <a:solidFill>
                  <a:srgbClr val="8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344811752"/>
        <c:crosses val="autoZero"/>
        <c:crossBetween val="between"/>
        <c:majorUnit val="6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913385826771649"/>
          <c:y val="0.50643112792719092"/>
          <c:w val="0.12848307005102622"/>
          <c:h val="0.130225312744997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05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30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400" b="0" i="0" u="none" strike="noStrike" baseline="0">
                <a:solidFill>
                  <a:srgbClr val="800000"/>
                </a:solidFill>
                <a:latin typeface="HGS創英角ｺﾞｼｯｸUB"/>
                <a:ea typeface="HGS創英角ｺﾞｼｯｸUB"/>
                <a:cs typeface="HGS創英角ｺﾞｼｯｸUB"/>
              </a:defRPr>
            </a:pPr>
            <a:r>
              <a:rPr lang="ja-JP" altLang="en-US"/>
              <a:t>バーンダウンチャート</a:t>
            </a:r>
          </a:p>
        </c:rich>
      </c:tx>
      <c:layout>
        <c:manualLayout>
          <c:xMode val="edge"/>
          <c:yMode val="edge"/>
          <c:x val="0.34829753865906077"/>
          <c:y val="3.0303030303030304E-2"/>
        </c:manualLayout>
      </c:layout>
      <c:overlay val="0"/>
      <c:spPr>
        <a:solidFill>
          <a:srgbClr val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60410836115687"/>
          <c:y val="0.15800895350302319"/>
          <c:w val="0.63467540232213437"/>
          <c:h val="0.64502300845299065"/>
        </c:manualLayout>
      </c:layout>
      <c:lineChart>
        <c:grouping val="standard"/>
        <c:varyColors val="0"/>
        <c:ser>
          <c:idx val="0"/>
          <c:order val="0"/>
          <c:tx>
            <c:strRef>
              <c:f>'スプリントバックログ(α)'!$J$1</c:f>
              <c:strCache>
                <c:ptCount val="1"/>
                <c:pt idx="0">
                  <c:v>残作業時間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933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'スプリントバックログ(α)'!$J$2:$N$2</c:f>
              <c:strCache>
                <c:ptCount val="5"/>
                <c:pt idx="0">
                  <c:v>5/9</c:v>
                </c:pt>
                <c:pt idx="1">
                  <c:v>5/12</c:v>
                </c:pt>
                <c:pt idx="2">
                  <c:v>5/16</c:v>
                </c:pt>
                <c:pt idx="3">
                  <c:v>5/19</c:v>
                </c:pt>
                <c:pt idx="4">
                  <c:v>5/23</c:v>
                </c:pt>
              </c:strCache>
            </c:strRef>
          </c:cat>
          <c:val>
            <c:numRef>
              <c:f>'スプリントバックログ(α)'!$J$4:$N$4</c:f>
              <c:numCache>
                <c:formatCode>General</c:formatCode>
                <c:ptCount val="5"/>
                <c:pt idx="0">
                  <c:v>82</c:v>
                </c:pt>
                <c:pt idx="1">
                  <c:v>72</c:v>
                </c:pt>
                <c:pt idx="2">
                  <c:v>55</c:v>
                </c:pt>
                <c:pt idx="3">
                  <c:v>32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3-47DC-8D5C-2E8B782E7980}"/>
            </c:ext>
          </c:extLst>
        </c:ser>
        <c:ser>
          <c:idx val="1"/>
          <c:order val="1"/>
          <c:tx>
            <c:v>理想時間</c:v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strRef>
              <c:f>'スプリントバックログ(α)'!$J$2:$N$2</c:f>
              <c:strCache>
                <c:ptCount val="5"/>
                <c:pt idx="0">
                  <c:v>5/9</c:v>
                </c:pt>
                <c:pt idx="1">
                  <c:v>5/12</c:v>
                </c:pt>
                <c:pt idx="2">
                  <c:v>5/16</c:v>
                </c:pt>
                <c:pt idx="3">
                  <c:v>5/19</c:v>
                </c:pt>
                <c:pt idx="4">
                  <c:v>5/23</c:v>
                </c:pt>
              </c:strCache>
            </c:strRef>
          </c:cat>
          <c:val>
            <c:numRef>
              <c:f>'スプリントバックログ(α)'!$J$3:$N$3</c:f>
              <c:numCache>
                <c:formatCode>General</c:formatCode>
                <c:ptCount val="5"/>
                <c:pt idx="0">
                  <c:v>82</c:v>
                </c:pt>
                <c:pt idx="1">
                  <c:v>65</c:v>
                </c:pt>
                <c:pt idx="2">
                  <c:v>49</c:v>
                </c:pt>
                <c:pt idx="3">
                  <c:v>32</c:v>
                </c:pt>
                <c:pt idx="4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F3-47DC-8D5C-2E8B782E7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750920"/>
        <c:axId val="1"/>
      </c:lineChart>
      <c:catAx>
        <c:axId val="253750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 sz="1150" b="0" i="0" u="none" strike="noStrike" baseline="0">
                    <a:solidFill>
                      <a:srgbClr val="0000FF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作業日</a:t>
                </a:r>
              </a:p>
            </c:rich>
          </c:tx>
          <c:layout>
            <c:manualLayout>
              <c:xMode val="edge"/>
              <c:yMode val="edge"/>
              <c:x val="0.41950496899961809"/>
              <c:y val="0.91991546511231548"/>
            </c:manualLayout>
          </c:layout>
          <c:overlay val="0"/>
          <c:spPr>
            <a:noFill/>
            <a:ln w="25400">
              <a:noFill/>
            </a:ln>
          </c:spPr>
        </c:title>
        <c:numFmt formatCode="m/d;@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ja-JP" sz="11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Rtl"/>
              <a:lstStyle/>
              <a:p>
                <a:pPr algn="ctr">
                  <a:defRPr lang="ja-JP" sz="1100" b="0" i="0" u="none" strike="noStrike" baseline="0">
                    <a:solidFill>
                      <a:srgbClr val="0000FF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残作業時間</a:t>
                </a:r>
              </a:p>
            </c:rich>
          </c:tx>
          <c:layout>
            <c:manualLayout>
              <c:xMode val="edge"/>
              <c:yMode val="edge"/>
              <c:x val="5.2631578947368418E-2"/>
              <c:y val="0.378788787765165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50" b="0" i="0" u="none" strike="noStrike" baseline="0">
                <a:solidFill>
                  <a:srgbClr val="8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53750920"/>
        <c:crossesAt val="1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05018567725473"/>
          <c:y val="0.43723034620672413"/>
          <c:w val="0.1795667259858772"/>
          <c:h val="8.87448159889104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05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0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450" b="0" i="0" u="none" strike="noStrike" baseline="0">
                <a:solidFill>
                  <a:srgbClr val="800000"/>
                </a:solidFill>
                <a:latin typeface="HG創英角ｺﾞｼｯｸUB"/>
                <a:ea typeface="HG創英角ｺﾞｼｯｸUB"/>
                <a:cs typeface="HG創英角ｺﾞｼｯｸUB"/>
              </a:defRPr>
            </a:pPr>
            <a:r>
              <a:rPr lang="ja-JP" altLang="en-US"/>
              <a:t>担当者別作業時間</a:t>
            </a:r>
          </a:p>
        </c:rich>
      </c:tx>
      <c:layout>
        <c:manualLayout>
          <c:xMode val="edge"/>
          <c:yMode val="edge"/>
          <c:x val="0.37151735290054688"/>
          <c:y val="2.73311897106109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891674798394871E-2"/>
          <c:y val="0.13022518261497582"/>
          <c:w val="0.79876221365419831"/>
          <c:h val="0.85691385597261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'スプリントバックログ(α)'!$I$1</c:f>
              <c:strCache>
                <c:ptCount val="1"/>
                <c:pt idx="0">
                  <c:v>残作業</c:v>
                </c:pt>
              </c:strCache>
            </c:strRef>
          </c:tx>
          <c:spPr>
            <a:solidFill>
              <a:srgbClr val="800000"/>
            </a:solidFill>
            <a:ln w="3175">
              <a:solidFill>
                <a:srgbClr val="9933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lang="ja-JP" sz="850" b="0" i="0" u="none" strike="noStrike" baseline="0">
                    <a:solidFill>
                      <a:srgbClr val="FF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'スプリントバックログ(α)'!$P$107:$P$116</c:f>
              <c:strCache>
                <c:ptCount val="5"/>
                <c:pt idx="0">
                  <c:v>斉藤</c:v>
                </c:pt>
                <c:pt idx="1">
                  <c:v>宮内</c:v>
                </c:pt>
                <c:pt idx="2">
                  <c:v>SIM</c:v>
                </c:pt>
                <c:pt idx="3">
                  <c:v>杉浦</c:v>
                </c:pt>
                <c:pt idx="4">
                  <c:v>桑原</c:v>
                </c:pt>
              </c:strCache>
            </c:strRef>
          </c:cat>
          <c:val>
            <c:numRef>
              <c:f>'スプリントバックログ(α)'!$R$107:$R$116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F-46D1-83CA-E3050CBC84E4}"/>
            </c:ext>
          </c:extLst>
        </c:ser>
        <c:ser>
          <c:idx val="1"/>
          <c:order val="1"/>
          <c:tx>
            <c:strRef>
              <c:f>'スプリントバックログ(α)'!$H$1</c:f>
              <c:strCache>
                <c:ptCount val="1"/>
                <c:pt idx="0">
                  <c:v>実作業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FF66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lang="ja-JP" sz="850" b="0" i="0" u="none" strike="noStrike" baseline="0">
                    <a:solidFill>
                      <a:srgbClr val="FF66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'スプリントバックログ(α)'!$P$107:$P$116</c:f>
              <c:strCache>
                <c:ptCount val="5"/>
                <c:pt idx="0">
                  <c:v>斉藤</c:v>
                </c:pt>
                <c:pt idx="1">
                  <c:v>宮内</c:v>
                </c:pt>
                <c:pt idx="2">
                  <c:v>SIM</c:v>
                </c:pt>
                <c:pt idx="3">
                  <c:v>杉浦</c:v>
                </c:pt>
                <c:pt idx="4">
                  <c:v>桑原</c:v>
                </c:pt>
              </c:strCache>
            </c:strRef>
          </c:cat>
          <c:val>
            <c:numRef>
              <c:f>'スプリントバックログ(α)'!$S$107:$S$116</c:f>
              <c:numCache>
                <c:formatCode>General</c:formatCode>
                <c:ptCount val="10"/>
                <c:pt idx="0">
                  <c:v>22</c:v>
                </c:pt>
                <c:pt idx="1">
                  <c:v>7</c:v>
                </c:pt>
                <c:pt idx="2">
                  <c:v>25.5</c:v>
                </c:pt>
                <c:pt idx="3">
                  <c:v>27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F-46D1-83CA-E3050CBC84E4}"/>
            </c:ext>
          </c:extLst>
        </c:ser>
        <c:ser>
          <c:idx val="2"/>
          <c:order val="2"/>
          <c:tx>
            <c:strRef>
              <c:f>'スプリントバックログ(α)'!$G$1</c:f>
              <c:strCache>
                <c:ptCount val="1"/>
                <c:pt idx="0">
                  <c:v>見積もり</c:v>
                </c:pt>
              </c:strCache>
            </c:strRef>
          </c:tx>
          <c:spPr>
            <a:solidFill>
              <a:srgbClr val="CCFFFF"/>
            </a:solidFill>
            <a:ln w="3175">
              <a:solidFill>
                <a:srgbClr val="00808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lang="ja-JP" sz="825" b="0" i="0" u="none" strike="noStrike" baseline="0">
                    <a:solidFill>
                      <a:srgbClr val="339966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'スプリントバックログ(α)'!$Q$107:$Q$116</c:f>
              <c:numCache>
                <c:formatCode>General</c:formatCode>
                <c:ptCount val="10"/>
                <c:pt idx="0">
                  <c:v>22</c:v>
                </c:pt>
                <c:pt idx="1">
                  <c:v>7</c:v>
                </c:pt>
                <c:pt idx="2">
                  <c:v>29</c:v>
                </c:pt>
                <c:pt idx="3">
                  <c:v>29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4F-46D1-83CA-E3050CBC84E4}"/>
            </c:ext>
          </c:extLst>
        </c:ser>
        <c:ser>
          <c:idx val="3"/>
          <c:order val="3"/>
          <c:tx>
            <c:strRef>
              <c:f>'スプリントバックログ(α)'!$U$106</c:f>
              <c:strCache>
                <c:ptCount val="1"/>
                <c:pt idx="0">
                  <c:v>遅延時間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993366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lang="ja-JP" sz="825" b="0" i="0" u="none" strike="noStrike" baseline="0">
                    <a:solidFill>
                      <a:srgbClr val="FF00FF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'スプリントバックログ(α)'!$U$107:$U$116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4F-46D1-83CA-E3050CBC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3751576"/>
        <c:axId val="1"/>
      </c:barChart>
      <c:catAx>
        <c:axId val="253751576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t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50" b="0" i="0" u="none" strike="noStrike" baseline="0">
                <a:solidFill>
                  <a:srgbClr val="8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53751576"/>
        <c:crosses val="autoZero"/>
        <c:crossBetween val="between"/>
        <c:majorUnit val="6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913377700852411"/>
          <c:y val="0.50643120574558409"/>
          <c:w val="0.12848313465460781"/>
          <c:h val="0.130225249175042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05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300" verticalDpi="0"/>
  </c:printSettings>
</c:chartSpac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5</xdr:row>
      <xdr:rowOff>83820</xdr:rowOff>
    </xdr:from>
    <xdr:to>
      <xdr:col>7</xdr:col>
      <xdr:colOff>975360</xdr:colOff>
      <xdr:row>12</xdr:row>
      <xdr:rowOff>76200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51960" y="941070"/>
          <a:ext cx="1238250" cy="1192530"/>
        </a:xfrm>
        <a:prstGeom prst="wedgeRoundRectCallout">
          <a:avLst>
            <a:gd name="adj1" fmla="val -63475"/>
            <a:gd name="adj2" fmla="val -43382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金曜日（</a:t>
          </a:r>
          <a:r>
            <a:rPr kumimoji="1" lang="en-US" altLang="ja-JP" sz="1600">
              <a:solidFill>
                <a:sysClr val="windowText" lastClr="000000"/>
              </a:solidFill>
            </a:rPr>
            <a:t>14</a:t>
          </a:r>
          <a:r>
            <a:rPr kumimoji="1" lang="ja-JP" altLang="en-US" sz="1600">
              <a:solidFill>
                <a:sysClr val="windowText" lastClr="000000"/>
              </a:solidFill>
            </a:rPr>
            <a:t>日）の巡回は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600">
              <a:solidFill>
                <a:srgbClr val="FF0000"/>
              </a:solidFill>
            </a:rPr>
            <a:t>希望　</a:t>
          </a:r>
          <a:r>
            <a:rPr kumimoji="1" lang="en-US" altLang="ja-JP" sz="1600">
              <a:solidFill>
                <a:sysClr val="windowText" lastClr="000000"/>
              </a:solidFill>
            </a:rPr>
            <a:t>or</a:t>
          </a:r>
          <a:r>
            <a:rPr kumimoji="1" lang="ja-JP" altLang="en-US" sz="1600">
              <a:solidFill>
                <a:srgbClr val="FF0000"/>
              </a:solidFill>
            </a:rPr>
            <a:t>　通っていない班</a:t>
          </a:r>
          <a:endParaRPr kumimoji="1" lang="en-US" altLang="ja-JP" sz="1600">
            <a:solidFill>
              <a:srgbClr val="FF0000"/>
            </a:solidFill>
          </a:endParaRPr>
        </a:p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のみ巡回を行う</a:t>
          </a:r>
          <a:endParaRPr kumimoji="1" lang="en-US" altLang="ja-JP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76200</xdr:colOff>
      <xdr:row>28</xdr:row>
      <xdr:rowOff>137160</xdr:rowOff>
    </xdr:from>
    <xdr:to>
      <xdr:col>8</xdr:col>
      <xdr:colOff>914400</xdr:colOff>
      <xdr:row>37</xdr:row>
      <xdr:rowOff>106680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76800" y="4937760"/>
          <a:ext cx="1295400" cy="1512570"/>
        </a:xfrm>
        <a:prstGeom prst="wedgeRoundRectCallout">
          <a:avLst>
            <a:gd name="adj1" fmla="val -68580"/>
            <a:gd name="adj2" fmla="val -40215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rgbClr val="FF0000"/>
              </a:solidFill>
            </a:rPr>
            <a:t>発表形式のプレゼン</a:t>
          </a:r>
          <a:endParaRPr kumimoji="1" lang="en-US" altLang="ja-JP" sz="1600">
            <a:solidFill>
              <a:srgbClr val="FF0000"/>
            </a:solidFill>
          </a:endParaRPr>
        </a:p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＆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600">
              <a:solidFill>
                <a:srgbClr val="FF0000"/>
              </a:solidFill>
            </a:rPr>
            <a:t>現在までの状況</a:t>
          </a:r>
          <a:endParaRPr kumimoji="1" lang="en-US" altLang="ja-JP" sz="1600">
            <a:solidFill>
              <a:srgbClr val="FF0000"/>
            </a:solidFill>
          </a:endParaRPr>
        </a:p>
        <a:p>
          <a:pPr algn="ctr"/>
          <a:r>
            <a:rPr kumimoji="1" lang="ja-JP" altLang="en-US" sz="1600">
              <a:solidFill>
                <a:srgbClr val="FF0000"/>
              </a:solidFill>
            </a:rPr>
            <a:t>（プロト版）を見せる</a:t>
          </a:r>
          <a:endParaRPr kumimoji="1" lang="en-US" altLang="ja-JP" sz="16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594360</xdr:colOff>
      <xdr:row>19</xdr:row>
      <xdr:rowOff>121920</xdr:rowOff>
    </xdr:from>
    <xdr:to>
      <xdr:col>7</xdr:col>
      <xdr:colOff>876300</xdr:colOff>
      <xdr:row>24</xdr:row>
      <xdr:rowOff>144780</xdr:rowOff>
    </xdr:to>
    <xdr:sp macro="" textlink="">
      <xdr:nvSpPr>
        <xdr:cNvPr id="4" name="角丸四角形吹き出し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023360" y="3379470"/>
          <a:ext cx="1463040" cy="880110"/>
        </a:xfrm>
        <a:prstGeom prst="wedgeRoundRectCallout">
          <a:avLst>
            <a:gd name="adj1" fmla="val -63076"/>
            <a:gd name="adj2" fmla="val -30293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実際に前でプレゼンを行い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600">
              <a:solidFill>
                <a:srgbClr val="FF0000"/>
              </a:solidFill>
            </a:rPr>
            <a:t>気に入られた場合</a:t>
          </a:r>
          <a:r>
            <a:rPr kumimoji="1" lang="ja-JP" altLang="en-US" sz="1600">
              <a:solidFill>
                <a:sysClr val="windowText" lastClr="000000"/>
              </a:solidFill>
            </a:rPr>
            <a:t>に配属される</a:t>
          </a:r>
          <a:endParaRPr kumimoji="1" lang="en-US" altLang="ja-JP" sz="16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0</xdr:row>
      <xdr:rowOff>91440</xdr:rowOff>
    </xdr:from>
    <xdr:to>
      <xdr:col>9</xdr:col>
      <xdr:colOff>251460</xdr:colOff>
      <xdr:row>2</xdr:row>
      <xdr:rowOff>121920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312920" y="91440"/>
          <a:ext cx="2110740" cy="373380"/>
        </a:xfrm>
        <a:prstGeom prst="wedgeRoundRectCallout">
          <a:avLst>
            <a:gd name="adj1" fmla="val 36224"/>
            <a:gd name="adj2" fmla="val -13926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チーム制作は</a:t>
          </a:r>
          <a:r>
            <a:rPr kumimoji="1" lang="en-US" altLang="ja-JP" sz="1600">
              <a:solidFill>
                <a:srgbClr val="FF0000"/>
              </a:solidFill>
            </a:rPr>
            <a:t>【</a:t>
          </a:r>
          <a:r>
            <a:rPr kumimoji="1" lang="ja-JP" altLang="en-US" sz="1600">
              <a:solidFill>
                <a:srgbClr val="FF0000"/>
              </a:solidFill>
            </a:rPr>
            <a:t>火、金曜日</a:t>
          </a:r>
          <a:r>
            <a:rPr kumimoji="1" lang="en-US" altLang="ja-JP" sz="1600">
              <a:solidFill>
                <a:srgbClr val="FF0000"/>
              </a:solidFill>
            </a:rPr>
            <a:t>】</a:t>
          </a:r>
          <a:r>
            <a:rPr kumimoji="1" lang="ja-JP" altLang="en-US" sz="1600">
              <a:solidFill>
                <a:sysClr val="windowText" lastClr="000000"/>
              </a:solidFill>
            </a:rPr>
            <a:t>の週</a:t>
          </a:r>
          <a:r>
            <a:rPr kumimoji="1" lang="en-US" altLang="ja-JP" sz="1600">
              <a:solidFill>
                <a:sysClr val="windowText" lastClr="000000"/>
              </a:solidFill>
            </a:rPr>
            <a:t>2</a:t>
          </a:r>
          <a:r>
            <a:rPr kumimoji="1" lang="ja-JP" altLang="en-US" sz="1600">
              <a:solidFill>
                <a:sysClr val="windowText" lastClr="000000"/>
              </a:solidFill>
            </a:rPr>
            <a:t>日となります</a:t>
          </a:r>
          <a:endParaRPr kumimoji="1" lang="en-US" altLang="ja-JP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922020</xdr:colOff>
      <xdr:row>41</xdr:row>
      <xdr:rowOff>45720</xdr:rowOff>
    </xdr:from>
    <xdr:to>
      <xdr:col>4</xdr:col>
      <xdr:colOff>60960</xdr:colOff>
      <xdr:row>46</xdr:row>
      <xdr:rowOff>60960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055495" y="7075170"/>
          <a:ext cx="748665" cy="872490"/>
        </a:xfrm>
        <a:prstGeom prst="wedgeRoundRectCallout">
          <a:avLst>
            <a:gd name="adj1" fmla="val -55967"/>
            <a:gd name="adj2" fmla="val -84720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ゲームの基本的部分が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600">
              <a:solidFill>
                <a:srgbClr val="FF0000"/>
              </a:solidFill>
            </a:rPr>
            <a:t>全て実装済み</a:t>
          </a:r>
          <a:endParaRPr kumimoji="1" lang="en-US" altLang="ja-JP" sz="16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1531620</xdr:colOff>
      <xdr:row>17</xdr:row>
      <xdr:rowOff>30480</xdr:rowOff>
    </xdr:from>
    <xdr:to>
      <xdr:col>4</xdr:col>
      <xdr:colOff>944880</xdr:colOff>
      <xdr:row>20</xdr:row>
      <xdr:rowOff>121920</xdr:rowOff>
    </xdr:to>
    <xdr:sp macro="" textlink="">
      <xdr:nvSpPr>
        <xdr:cNvPr id="4" name="角丸四角形吹き出し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055495" y="2945130"/>
          <a:ext cx="1375410" cy="605790"/>
        </a:xfrm>
        <a:prstGeom prst="wedgeRoundRectCallout">
          <a:avLst>
            <a:gd name="adj1" fmla="val -62274"/>
            <a:gd name="adj2" fmla="val -51684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４月２９日に</a:t>
          </a:r>
          <a:r>
            <a:rPr kumimoji="1" lang="en-US" altLang="ja-JP" sz="1600">
              <a:solidFill>
                <a:srgbClr val="FF0000"/>
              </a:solidFill>
            </a:rPr>
            <a:t>×</a:t>
          </a:r>
          <a:r>
            <a:rPr kumimoji="1" lang="ja-JP" altLang="en-US" sz="1600">
              <a:solidFill>
                <a:sysClr val="windowText" lastClr="000000"/>
              </a:solidFill>
            </a:rPr>
            <a:t>だった班のみ</a:t>
          </a:r>
          <a:endParaRPr kumimoji="1" lang="en-US" altLang="ja-JP" sz="16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1219200</xdr:colOff>
      <xdr:row>28</xdr:row>
      <xdr:rowOff>91440</xdr:rowOff>
    </xdr:from>
    <xdr:to>
      <xdr:col>4</xdr:col>
      <xdr:colOff>358140</xdr:colOff>
      <xdr:row>35</xdr:row>
      <xdr:rowOff>121920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057400" y="4892040"/>
          <a:ext cx="1043940" cy="1230630"/>
        </a:xfrm>
        <a:prstGeom prst="wedgeRoundRectCallout">
          <a:avLst>
            <a:gd name="adj1" fmla="val -62274"/>
            <a:gd name="adj2" fmla="val -51684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ゲームの</a:t>
          </a:r>
          <a:r>
            <a:rPr kumimoji="1" lang="ja-JP" altLang="en-US" sz="1600">
              <a:solidFill>
                <a:srgbClr val="FF0000"/>
              </a:solidFill>
            </a:rPr>
            <a:t>約８～９割完成</a:t>
          </a:r>
          <a:endParaRPr kumimoji="1" lang="en-US" altLang="ja-JP" sz="1600">
            <a:solidFill>
              <a:srgbClr val="FF0000"/>
            </a:solidFill>
          </a:endParaRPr>
        </a:p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リソース等も</a:t>
          </a:r>
          <a:r>
            <a:rPr kumimoji="1" lang="ja-JP" altLang="en-US" sz="1600">
              <a:solidFill>
                <a:srgbClr val="FF0000"/>
              </a:solidFill>
            </a:rPr>
            <a:t>ほぼ完璧</a:t>
          </a:r>
          <a:endParaRPr kumimoji="1" lang="en-US" altLang="ja-JP" sz="1600">
            <a:solidFill>
              <a:srgbClr val="FF0000"/>
            </a:solidFill>
          </a:endParaRPr>
        </a:p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PV</a:t>
          </a:r>
          <a:r>
            <a:rPr kumimoji="1" lang="ja-JP" altLang="en-US" sz="1600">
              <a:solidFill>
                <a:sysClr val="windowText" lastClr="000000"/>
              </a:solidFill>
            </a:rPr>
            <a:t>の</a:t>
          </a:r>
          <a:r>
            <a:rPr kumimoji="1" lang="ja-JP" altLang="en-US" sz="1600">
              <a:solidFill>
                <a:srgbClr val="FF0000"/>
              </a:solidFill>
            </a:rPr>
            <a:t>絵コンテチェック</a:t>
          </a:r>
          <a:endParaRPr kumimoji="1" lang="en-US" altLang="ja-JP" sz="16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1287780</xdr:colOff>
      <xdr:row>39</xdr:row>
      <xdr:rowOff>160020</xdr:rowOff>
    </xdr:from>
    <xdr:to>
      <xdr:col>4</xdr:col>
      <xdr:colOff>426720</xdr:colOff>
      <xdr:row>45</xdr:row>
      <xdr:rowOff>7620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59305" y="6846570"/>
          <a:ext cx="1110615" cy="876300"/>
        </a:xfrm>
        <a:prstGeom prst="wedgeRoundRectCallout">
          <a:avLst>
            <a:gd name="adj1" fmla="val -62274"/>
            <a:gd name="adj2" fmla="val -51684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絵コンテを基に</a:t>
          </a:r>
          <a:r>
            <a:rPr kumimoji="1" lang="en-US" altLang="ja-JP" sz="1600">
              <a:solidFill>
                <a:srgbClr val="FF0000"/>
              </a:solidFill>
            </a:rPr>
            <a:t>PV</a:t>
          </a:r>
          <a:r>
            <a:rPr kumimoji="1" lang="ja-JP" altLang="en-US" sz="1600">
              <a:solidFill>
                <a:srgbClr val="FF0000"/>
              </a:solidFill>
            </a:rPr>
            <a:t>を提出</a:t>
          </a:r>
          <a:r>
            <a:rPr kumimoji="1" lang="ja-JP" altLang="en-US" sz="1600">
              <a:solidFill>
                <a:sysClr val="windowText" lastClr="000000"/>
              </a:solidFill>
            </a:rPr>
            <a:t>し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先生に見てもらう</a:t>
          </a:r>
          <a:endParaRPr kumimoji="1" lang="en-US" altLang="ja-JP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220980</xdr:colOff>
      <xdr:row>6</xdr:row>
      <xdr:rowOff>152400</xdr:rowOff>
    </xdr:from>
    <xdr:to>
      <xdr:col>7</xdr:col>
      <xdr:colOff>1394460</xdr:colOff>
      <xdr:row>10</xdr:row>
      <xdr:rowOff>106680</xdr:rowOff>
    </xdr:to>
    <xdr:sp macro="" textlink="">
      <xdr:nvSpPr>
        <xdr:cNvPr id="4" name="角丸四角形吹き出し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335780" y="1181100"/>
          <a:ext cx="1154430" cy="640080"/>
        </a:xfrm>
        <a:prstGeom prst="wedgeRoundRectCallout">
          <a:avLst>
            <a:gd name="adj1" fmla="val -59761"/>
            <a:gd name="adj2" fmla="val -47887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rgbClr val="FF0000"/>
              </a:solidFill>
            </a:rPr>
            <a:t>あらかじめ作成しておくと◎</a:t>
          </a:r>
          <a:endParaRPr kumimoji="1" lang="en-US" altLang="ja-JP" sz="16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1524000</xdr:colOff>
      <xdr:row>51</xdr:row>
      <xdr:rowOff>45720</xdr:rowOff>
    </xdr:from>
    <xdr:to>
      <xdr:col>4</xdr:col>
      <xdr:colOff>662940</xdr:colOff>
      <xdr:row>54</xdr:row>
      <xdr:rowOff>121920</xdr:rowOff>
    </xdr:to>
    <xdr:sp macro="" textlink="">
      <xdr:nvSpPr>
        <xdr:cNvPr id="5" name="角丸四角形吹き出し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057400" y="8789670"/>
          <a:ext cx="1348740" cy="590550"/>
        </a:xfrm>
        <a:prstGeom prst="wedgeRoundRectCallout">
          <a:avLst>
            <a:gd name="adj1" fmla="val -62274"/>
            <a:gd name="adj2" fmla="val -51684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rgbClr val="FF0000"/>
              </a:solidFill>
            </a:rPr>
            <a:t>ここで書類以外全て提出</a:t>
          </a:r>
          <a:endParaRPr kumimoji="1" lang="en-US" altLang="ja-JP" sz="16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739140</xdr:colOff>
      <xdr:row>51</xdr:row>
      <xdr:rowOff>30480</xdr:rowOff>
    </xdr:from>
    <xdr:to>
      <xdr:col>5</xdr:col>
      <xdr:colOff>236220</xdr:colOff>
      <xdr:row>54</xdr:row>
      <xdr:rowOff>106680</xdr:rowOff>
    </xdr:to>
    <xdr:sp macro="" textlink="">
      <xdr:nvSpPr>
        <xdr:cNvPr id="6" name="角丸四角形吹き出し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425190" y="8774430"/>
          <a:ext cx="240030" cy="590550"/>
        </a:xfrm>
        <a:prstGeom prst="wedgeRoundRectCallout">
          <a:avLst>
            <a:gd name="adj1" fmla="val -51445"/>
            <a:gd name="adj2" fmla="val -74053"/>
            <a:gd name="adj3" fmla="val 1666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rgbClr val="FF0000"/>
              </a:solidFill>
            </a:rPr>
            <a:t>最終ライン</a:t>
          </a:r>
          <a:endParaRPr kumimoji="1" lang="en-US" altLang="ja-JP" sz="16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</xdr:colOff>
      <xdr:row>4</xdr:row>
      <xdr:rowOff>9525</xdr:rowOff>
    </xdr:from>
    <xdr:to>
      <xdr:col>34</xdr:col>
      <xdr:colOff>8711</xdr:colOff>
      <xdr:row>28</xdr:row>
      <xdr:rowOff>66675</xdr:rowOff>
    </xdr:to>
    <xdr:graphicFrame macro="">
      <xdr:nvGraphicFramePr>
        <xdr:cNvPr id="1394" name="グラフ 2">
          <a:extLst>
            <a:ext uri="{FF2B5EF4-FFF2-40B4-BE49-F238E27FC236}">
              <a16:creationId xmlns:a16="http://schemas.microsoft.com/office/drawing/2014/main" id="{00000000-0008-0000-0300-000072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9525</xdr:colOff>
      <xdr:row>29</xdr:row>
      <xdr:rowOff>123825</xdr:rowOff>
    </xdr:from>
    <xdr:to>
      <xdr:col>34</xdr:col>
      <xdr:colOff>8711</xdr:colOff>
      <xdr:row>62</xdr:row>
      <xdr:rowOff>85725</xdr:rowOff>
    </xdr:to>
    <xdr:graphicFrame macro="">
      <xdr:nvGraphicFramePr>
        <xdr:cNvPr id="1395" name="グラフ 39">
          <a:extLst>
            <a:ext uri="{FF2B5EF4-FFF2-40B4-BE49-F238E27FC236}">
              <a16:creationId xmlns:a16="http://schemas.microsoft.com/office/drawing/2014/main" id="{00000000-0008-0000-0300-000073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104775</xdr:colOff>
      <xdr:row>4</xdr:row>
      <xdr:rowOff>46512</xdr:rowOff>
    </xdr:from>
    <xdr:to>
      <xdr:col>25</xdr:col>
      <xdr:colOff>84241</xdr:colOff>
      <xdr:row>29</xdr:row>
      <xdr:rowOff>60460</xdr:rowOff>
    </xdr:to>
    <xdr:graphicFrame macro="">
      <xdr:nvGraphicFramePr>
        <xdr:cNvPr id="2371" name="グラフ 1">
          <a:extLst>
            <a:ext uri="{FF2B5EF4-FFF2-40B4-BE49-F238E27FC236}">
              <a16:creationId xmlns:a16="http://schemas.microsoft.com/office/drawing/2014/main" id="{00000000-0008-0000-0400-0000430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68786</xdr:colOff>
      <xdr:row>50</xdr:row>
      <xdr:rowOff>9846</xdr:rowOff>
    </xdr:from>
    <xdr:to>
      <xdr:col>25</xdr:col>
      <xdr:colOff>776181</xdr:colOff>
      <xdr:row>84</xdr:row>
      <xdr:rowOff>123427</xdr:rowOff>
    </xdr:to>
    <xdr:graphicFrame macro="">
      <xdr:nvGraphicFramePr>
        <xdr:cNvPr id="2372" name="グラフ 6">
          <a:extLst>
            <a:ext uri="{FF2B5EF4-FFF2-40B4-BE49-F238E27FC236}">
              <a16:creationId xmlns:a16="http://schemas.microsoft.com/office/drawing/2014/main" id="{00000000-0008-0000-0400-0000440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zoomScale="70" zoomScaleNormal="70" workbookViewId="0">
      <selection activeCell="I15" sqref="I15"/>
    </sheetView>
  </sheetViews>
  <sheetFormatPr defaultColWidth="8.875" defaultRowHeight="13.5"/>
  <cols>
    <col min="1" max="1" width="3.75" customWidth="1"/>
    <col min="2" max="8" width="24.75" customWidth="1"/>
    <col min="9" max="9" width="18.5" customWidth="1"/>
    <col min="10" max="10" width="17.25" customWidth="1"/>
  </cols>
  <sheetData>
    <row r="1" spans="1:8" ht="24">
      <c r="A1" s="64" t="s">
        <v>0</v>
      </c>
      <c r="D1" s="63" t="s">
        <v>1</v>
      </c>
      <c r="E1" s="63" t="s">
        <v>2</v>
      </c>
      <c r="F1" s="62">
        <f ca="1">TODAY()</f>
        <v>45849</v>
      </c>
    </row>
    <row r="4" spans="1:8">
      <c r="B4" s="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45" t="s">
        <v>8</v>
      </c>
      <c r="H4" s="44" t="s">
        <v>9</v>
      </c>
    </row>
    <row r="5" spans="1:8">
      <c r="B5" s="43">
        <v>10</v>
      </c>
      <c r="C5" s="43">
        <v>11</v>
      </c>
      <c r="D5" s="43">
        <v>12</v>
      </c>
      <c r="E5" s="43">
        <v>13</v>
      </c>
      <c r="F5" s="43">
        <v>14</v>
      </c>
      <c r="G5" s="43">
        <v>15</v>
      </c>
      <c r="H5" s="43">
        <v>16</v>
      </c>
    </row>
    <row r="6" spans="1:8">
      <c r="B6" s="60" t="s">
        <v>10</v>
      </c>
      <c r="C6" s="57" t="s">
        <v>11</v>
      </c>
      <c r="D6" s="57" t="s">
        <v>11</v>
      </c>
      <c r="E6" s="60" t="s">
        <v>12</v>
      </c>
      <c r="F6" s="60" t="s">
        <v>11</v>
      </c>
      <c r="G6" s="61"/>
      <c r="H6" s="61"/>
    </row>
    <row r="7" spans="1:8">
      <c r="B7" s="52"/>
      <c r="C7" s="57" t="s">
        <v>12</v>
      </c>
      <c r="D7" s="57" t="s">
        <v>12</v>
      </c>
      <c r="E7" s="52"/>
      <c r="F7" s="52" t="s">
        <v>13</v>
      </c>
      <c r="G7" s="52"/>
      <c r="H7" s="52"/>
    </row>
    <row r="8" spans="1:8">
      <c r="B8" s="52"/>
      <c r="C8" s="52" t="s">
        <v>14</v>
      </c>
      <c r="D8" s="52"/>
      <c r="E8" s="52"/>
      <c r="F8" s="52"/>
      <c r="G8" s="52"/>
      <c r="H8" s="52"/>
    </row>
    <row r="9" spans="1:8">
      <c r="B9" s="52"/>
      <c r="C9" s="52"/>
      <c r="D9" s="52"/>
      <c r="E9" s="52"/>
      <c r="F9" s="52"/>
      <c r="G9" s="52"/>
      <c r="H9" s="52"/>
    </row>
    <row r="10" spans="1:8">
      <c r="B10" s="52"/>
      <c r="C10" s="52"/>
      <c r="D10" s="52"/>
      <c r="E10" s="52"/>
      <c r="F10" s="52"/>
      <c r="G10" s="52"/>
      <c r="H10" s="52"/>
    </row>
    <row r="11" spans="1:8">
      <c r="B11" s="52"/>
      <c r="C11" s="52"/>
      <c r="D11" s="52"/>
      <c r="E11" s="52"/>
      <c r="F11" s="52"/>
      <c r="G11" s="52"/>
      <c r="H11" s="52"/>
    </row>
    <row r="12" spans="1:8">
      <c r="B12" s="48"/>
      <c r="C12" s="48"/>
      <c r="D12" s="48"/>
      <c r="E12" s="48"/>
      <c r="F12" s="48"/>
      <c r="G12" s="48"/>
      <c r="H12" s="48"/>
    </row>
    <row r="13" spans="1:8">
      <c r="C13" t="s">
        <v>15</v>
      </c>
    </row>
    <row r="15" spans="1:8">
      <c r="B15" s="43" t="s">
        <v>3</v>
      </c>
      <c r="C15" s="43" t="s">
        <v>4</v>
      </c>
      <c r="D15" s="43" t="s">
        <v>5</v>
      </c>
      <c r="E15" s="43" t="s">
        <v>6</v>
      </c>
      <c r="F15" s="43" t="s">
        <v>7</v>
      </c>
      <c r="G15" s="45" t="s">
        <v>8</v>
      </c>
      <c r="H15" s="44" t="s">
        <v>9</v>
      </c>
    </row>
    <row r="16" spans="1:8">
      <c r="B16" s="43">
        <v>17</v>
      </c>
      <c r="C16" s="43">
        <v>18</v>
      </c>
      <c r="D16" s="43">
        <v>19</v>
      </c>
      <c r="E16" s="43">
        <v>20</v>
      </c>
      <c r="F16" s="43">
        <v>21</v>
      </c>
      <c r="G16" s="43">
        <v>22</v>
      </c>
      <c r="H16" s="43">
        <v>23</v>
      </c>
    </row>
    <row r="17" spans="2:8">
      <c r="B17" s="60"/>
      <c r="C17" s="57" t="s">
        <v>11</v>
      </c>
      <c r="D17" s="39" t="s">
        <v>11</v>
      </c>
      <c r="E17" s="59"/>
      <c r="F17" s="40" t="s">
        <v>11</v>
      </c>
      <c r="G17" s="58"/>
      <c r="H17" s="42"/>
    </row>
    <row r="18" spans="2:8">
      <c r="B18" s="57"/>
      <c r="C18" s="52" t="s">
        <v>13</v>
      </c>
      <c r="D18" s="38" t="s">
        <v>13</v>
      </c>
      <c r="E18" s="56"/>
      <c r="F18" s="38"/>
      <c r="G18" s="49"/>
      <c r="H18" s="38"/>
    </row>
    <row r="19" spans="2:8">
      <c r="B19" s="55"/>
      <c r="C19" s="52"/>
      <c r="D19" s="38"/>
      <c r="E19" s="56"/>
      <c r="F19" s="38"/>
      <c r="G19" s="49"/>
      <c r="H19" s="38"/>
    </row>
    <row r="20" spans="2:8">
      <c r="B20" s="55"/>
      <c r="C20" s="52"/>
      <c r="D20" s="38"/>
      <c r="E20" s="54"/>
      <c r="F20" s="38"/>
      <c r="G20" s="49"/>
      <c r="H20" s="38"/>
    </row>
    <row r="21" spans="2:8">
      <c r="B21" s="52"/>
      <c r="C21" s="52"/>
      <c r="D21" s="38"/>
      <c r="E21" s="53" t="s">
        <v>16</v>
      </c>
      <c r="F21" s="38"/>
      <c r="G21" s="49"/>
      <c r="H21" s="38"/>
    </row>
    <row r="22" spans="2:8">
      <c r="B22" s="52"/>
      <c r="C22" s="51"/>
      <c r="D22" s="50"/>
      <c r="E22" s="50" t="s">
        <v>17</v>
      </c>
      <c r="F22" s="38"/>
      <c r="G22" s="49"/>
      <c r="H22" s="38"/>
    </row>
    <row r="23" spans="2:8">
      <c r="B23" s="48"/>
      <c r="C23" s="48"/>
      <c r="D23" s="37"/>
      <c r="E23" s="47"/>
      <c r="F23" s="37"/>
      <c r="G23" s="46"/>
      <c r="H23" s="37"/>
    </row>
    <row r="26" spans="2:8" ht="14.1" customHeight="1">
      <c r="B26" s="43" t="s">
        <v>3</v>
      </c>
      <c r="C26" s="43" t="s">
        <v>4</v>
      </c>
      <c r="D26" s="43" t="s">
        <v>5</v>
      </c>
      <c r="E26" s="43" t="s">
        <v>6</v>
      </c>
      <c r="F26" s="43" t="s">
        <v>7</v>
      </c>
      <c r="G26" s="45" t="s">
        <v>8</v>
      </c>
      <c r="H26" s="44" t="s">
        <v>9</v>
      </c>
    </row>
    <row r="27" spans="2:8">
      <c r="B27" s="43">
        <v>24</v>
      </c>
      <c r="C27" s="43">
        <v>25</v>
      </c>
      <c r="D27" s="43">
        <v>26</v>
      </c>
      <c r="E27" s="43">
        <v>27</v>
      </c>
      <c r="F27" s="43">
        <v>28</v>
      </c>
      <c r="G27" s="43">
        <v>29</v>
      </c>
      <c r="H27" s="43">
        <v>30</v>
      </c>
    </row>
    <row r="28" spans="2:8">
      <c r="B28" s="42"/>
      <c r="C28" s="39" t="s">
        <v>11</v>
      </c>
      <c r="D28" s="39" t="s">
        <v>11</v>
      </c>
      <c r="E28" s="42"/>
      <c r="F28" s="40" t="s">
        <v>11</v>
      </c>
      <c r="G28" s="41" t="s">
        <v>18</v>
      </c>
      <c r="H28" s="40" t="s">
        <v>19</v>
      </c>
    </row>
    <row r="29" spans="2:8">
      <c r="B29" s="38"/>
      <c r="C29" s="38"/>
      <c r="D29" s="38"/>
      <c r="E29" s="38"/>
      <c r="F29" s="39" t="s">
        <v>20</v>
      </c>
      <c r="G29" s="38"/>
      <c r="H29" s="38"/>
    </row>
    <row r="30" spans="2:8">
      <c r="B30" s="38"/>
      <c r="C30" s="38"/>
      <c r="D30" s="38"/>
      <c r="E30" s="38"/>
      <c r="F30" s="38"/>
      <c r="G30" s="38" t="s">
        <v>21</v>
      </c>
      <c r="H30" s="38"/>
    </row>
    <row r="31" spans="2:8">
      <c r="B31" s="38"/>
      <c r="C31" s="38"/>
      <c r="D31" s="38"/>
      <c r="E31" s="38"/>
      <c r="F31" s="38"/>
      <c r="G31" s="38"/>
      <c r="H31" s="38"/>
    </row>
    <row r="32" spans="2:8">
      <c r="B32" s="38"/>
      <c r="C32" s="38"/>
      <c r="D32" s="38"/>
      <c r="E32" s="38"/>
      <c r="F32" s="38"/>
      <c r="G32" s="38"/>
      <c r="H32" s="38"/>
    </row>
    <row r="33" spans="2:8">
      <c r="B33" s="38"/>
      <c r="C33" s="38"/>
      <c r="D33" s="38"/>
      <c r="E33" s="38"/>
      <c r="F33" s="38"/>
      <c r="G33" s="38"/>
      <c r="H33" s="38"/>
    </row>
    <row r="34" spans="2:8">
      <c r="B34" s="37"/>
      <c r="C34" s="37"/>
      <c r="D34" s="37"/>
      <c r="E34" s="37"/>
      <c r="F34" s="37"/>
      <c r="G34" s="37"/>
      <c r="H34" s="37"/>
    </row>
    <row r="35" spans="2:8">
      <c r="G35" t="s">
        <v>22</v>
      </c>
    </row>
  </sheetData>
  <phoneticPr fontId="4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topLeftCell="A29" zoomScale="70" zoomScaleNormal="70" workbookViewId="0">
      <selection activeCell="F30" sqref="F30"/>
    </sheetView>
  </sheetViews>
  <sheetFormatPr defaultColWidth="8.875" defaultRowHeight="13.5"/>
  <cols>
    <col min="1" max="1" width="3.75" customWidth="1"/>
    <col min="2" max="8" width="24.75" customWidth="1"/>
    <col min="9" max="9" width="18.5" customWidth="1"/>
    <col min="10" max="10" width="17.25" customWidth="1"/>
  </cols>
  <sheetData>
    <row r="1" spans="1:8" ht="24">
      <c r="A1" s="64" t="s">
        <v>0</v>
      </c>
      <c r="D1" s="63" t="s">
        <v>23</v>
      </c>
      <c r="E1" s="63" t="s">
        <v>2</v>
      </c>
      <c r="F1" s="62">
        <f ca="1">TODAY()</f>
        <v>45849</v>
      </c>
    </row>
    <row r="4" spans="1:8">
      <c r="B4" s="44" t="s">
        <v>3</v>
      </c>
      <c r="C4" s="44" t="s">
        <v>4</v>
      </c>
      <c r="D4" s="44" t="s">
        <v>5</v>
      </c>
      <c r="E4" s="44" t="s">
        <v>6</v>
      </c>
      <c r="F4" s="44" t="s">
        <v>7</v>
      </c>
      <c r="G4" s="45" t="s">
        <v>8</v>
      </c>
      <c r="H4" s="44" t="s">
        <v>9</v>
      </c>
    </row>
    <row r="5" spans="1:8">
      <c r="B5" s="43">
        <v>1</v>
      </c>
      <c r="C5" s="43">
        <v>2</v>
      </c>
      <c r="D5" s="43">
        <v>3</v>
      </c>
      <c r="E5" s="43">
        <v>4</v>
      </c>
      <c r="F5" s="43">
        <v>5</v>
      </c>
      <c r="G5" s="43">
        <v>6</v>
      </c>
      <c r="H5" s="43">
        <v>7</v>
      </c>
    </row>
    <row r="6" spans="1:8">
      <c r="B6" s="40" t="s">
        <v>24</v>
      </c>
      <c r="C6" s="39" t="s">
        <v>25</v>
      </c>
      <c r="D6" s="39" t="s">
        <v>26</v>
      </c>
      <c r="E6" s="40" t="s">
        <v>27</v>
      </c>
      <c r="F6" s="40" t="s">
        <v>28</v>
      </c>
      <c r="G6" s="42"/>
      <c r="H6" s="42"/>
    </row>
    <row r="7" spans="1:8">
      <c r="B7" s="38"/>
      <c r="C7" s="38"/>
      <c r="D7" s="38"/>
      <c r="E7" s="38"/>
      <c r="F7" s="38"/>
      <c r="G7" s="38"/>
      <c r="H7" s="38"/>
    </row>
    <row r="8" spans="1:8">
      <c r="B8" s="38"/>
      <c r="C8" s="38"/>
      <c r="D8" s="38"/>
      <c r="E8" s="38"/>
      <c r="F8" s="38"/>
      <c r="G8" s="38"/>
      <c r="H8" s="38"/>
    </row>
    <row r="9" spans="1:8">
      <c r="B9" s="38"/>
      <c r="C9" s="38"/>
      <c r="D9" s="38"/>
      <c r="E9" s="38"/>
      <c r="F9" s="38"/>
      <c r="G9" s="38"/>
      <c r="H9" s="38"/>
    </row>
    <row r="10" spans="1:8">
      <c r="B10" s="38"/>
      <c r="C10" s="38"/>
      <c r="D10" s="38"/>
      <c r="E10" s="38"/>
      <c r="F10" s="38"/>
      <c r="G10" s="38"/>
      <c r="H10" s="38"/>
    </row>
    <row r="11" spans="1:8">
      <c r="B11" s="38"/>
      <c r="C11" s="38"/>
      <c r="D11" s="38"/>
      <c r="E11" s="38"/>
      <c r="F11" s="38"/>
      <c r="G11" s="38"/>
      <c r="H11" s="38"/>
    </row>
    <row r="12" spans="1:8">
      <c r="B12" s="37"/>
      <c r="C12" s="37"/>
      <c r="D12" s="37"/>
      <c r="E12" s="37"/>
      <c r="F12" s="37"/>
      <c r="G12" s="37"/>
      <c r="H12" s="37"/>
    </row>
    <row r="14" spans="1:8">
      <c r="B14" s="65"/>
    </row>
    <row r="15" spans="1:8">
      <c r="B15" s="43" t="s">
        <v>3</v>
      </c>
      <c r="C15" s="43" t="s">
        <v>4</v>
      </c>
      <c r="D15" s="43" t="s">
        <v>5</v>
      </c>
      <c r="E15" s="43" t="s">
        <v>6</v>
      </c>
      <c r="F15" s="43" t="s">
        <v>7</v>
      </c>
      <c r="G15" s="45" t="s">
        <v>8</v>
      </c>
      <c r="H15" s="44" t="s">
        <v>9</v>
      </c>
    </row>
    <row r="16" spans="1:8">
      <c r="B16" s="43">
        <v>8</v>
      </c>
      <c r="C16" s="43">
        <v>9</v>
      </c>
      <c r="D16" s="43">
        <v>10</v>
      </c>
      <c r="E16" s="43">
        <v>11</v>
      </c>
      <c r="F16" s="43">
        <v>12</v>
      </c>
      <c r="G16" s="43">
        <v>13</v>
      </c>
      <c r="H16" s="43">
        <v>14</v>
      </c>
    </row>
    <row r="17" spans="2:8">
      <c r="B17" s="40" t="s">
        <v>29</v>
      </c>
      <c r="C17" s="50" t="s">
        <v>30</v>
      </c>
      <c r="D17" s="38"/>
      <c r="E17" s="42"/>
      <c r="F17" s="42" t="s">
        <v>31</v>
      </c>
      <c r="G17" s="42"/>
      <c r="H17" s="42"/>
    </row>
    <row r="18" spans="2:8">
      <c r="B18" s="38"/>
      <c r="C18" s="38"/>
      <c r="D18" s="38"/>
      <c r="E18" s="38"/>
      <c r="F18" s="38"/>
      <c r="G18" s="38"/>
      <c r="H18" s="38"/>
    </row>
    <row r="19" spans="2:8">
      <c r="B19" s="38"/>
      <c r="C19" s="38"/>
      <c r="D19" s="38"/>
      <c r="E19" s="38"/>
      <c r="F19" s="38"/>
      <c r="G19" s="38"/>
      <c r="H19" s="38"/>
    </row>
    <row r="20" spans="2:8">
      <c r="B20" s="38"/>
      <c r="C20" s="38"/>
      <c r="D20" s="38"/>
      <c r="E20" s="38"/>
      <c r="F20" s="38"/>
      <c r="G20" s="38"/>
      <c r="H20" s="38"/>
    </row>
    <row r="21" spans="2:8">
      <c r="B21" s="38"/>
      <c r="C21" s="38"/>
      <c r="D21" s="38"/>
      <c r="E21" s="38"/>
      <c r="F21" s="38"/>
      <c r="G21" s="38"/>
      <c r="H21" s="38"/>
    </row>
    <row r="22" spans="2:8">
      <c r="B22" s="38"/>
      <c r="C22" s="38"/>
      <c r="D22" s="38"/>
      <c r="E22" s="38"/>
      <c r="F22" s="38"/>
      <c r="G22" s="38"/>
      <c r="H22" s="38"/>
    </row>
    <row r="23" spans="2:8">
      <c r="B23" s="37"/>
      <c r="C23" s="37"/>
      <c r="D23" s="37"/>
      <c r="E23" s="37"/>
      <c r="F23" s="37"/>
      <c r="G23" s="37"/>
      <c r="H23" s="37"/>
    </row>
    <row r="24" spans="2:8">
      <c r="E24" t="s">
        <v>32</v>
      </c>
    </row>
    <row r="26" spans="2:8" ht="14.1" customHeight="1">
      <c r="B26" s="43" t="s">
        <v>3</v>
      </c>
      <c r="C26" s="43" t="s">
        <v>4</v>
      </c>
      <c r="D26" s="43" t="s">
        <v>5</v>
      </c>
      <c r="E26" s="43" t="s">
        <v>6</v>
      </c>
      <c r="F26" s="43" t="s">
        <v>7</v>
      </c>
      <c r="G26" s="45" t="s">
        <v>8</v>
      </c>
      <c r="H26" s="44" t="s">
        <v>9</v>
      </c>
    </row>
    <row r="27" spans="2:8">
      <c r="B27" s="43">
        <v>15</v>
      </c>
      <c r="C27" s="43">
        <v>16</v>
      </c>
      <c r="D27" s="43">
        <v>17</v>
      </c>
      <c r="E27" s="43">
        <v>18</v>
      </c>
      <c r="F27" s="43">
        <v>19</v>
      </c>
      <c r="G27" s="43">
        <v>20</v>
      </c>
      <c r="H27" s="43">
        <v>21</v>
      </c>
    </row>
    <row r="28" spans="2:8">
      <c r="B28" s="42"/>
      <c r="C28" s="38" t="s">
        <v>31</v>
      </c>
      <c r="D28" s="38"/>
      <c r="E28" s="42"/>
      <c r="F28" s="42" t="s">
        <v>31</v>
      </c>
      <c r="G28" s="42"/>
      <c r="H28" s="42"/>
    </row>
    <row r="29" spans="2:8">
      <c r="B29" s="38"/>
      <c r="C29" s="38"/>
      <c r="D29" s="38"/>
      <c r="E29" s="38"/>
      <c r="F29" s="38"/>
      <c r="G29" s="38"/>
      <c r="H29" s="38"/>
    </row>
    <row r="30" spans="2:8">
      <c r="B30" s="38"/>
      <c r="C30" s="38"/>
      <c r="D30" s="38"/>
      <c r="E30" s="38"/>
      <c r="F30" s="38"/>
      <c r="G30" s="38"/>
      <c r="H30" s="38"/>
    </row>
    <row r="31" spans="2:8">
      <c r="B31" s="38"/>
      <c r="C31" s="38"/>
      <c r="D31" s="38"/>
      <c r="E31" s="38"/>
      <c r="F31" s="38"/>
      <c r="G31" s="38"/>
      <c r="H31" s="38"/>
    </row>
    <row r="32" spans="2:8">
      <c r="B32" s="38"/>
      <c r="C32" s="38"/>
      <c r="D32" s="38"/>
      <c r="E32" s="38"/>
      <c r="F32" s="38"/>
      <c r="G32" s="38"/>
      <c r="H32" s="38"/>
    </row>
    <row r="33" spans="2:8">
      <c r="B33" s="38"/>
      <c r="C33" s="38"/>
      <c r="D33" s="38"/>
      <c r="E33" s="38"/>
      <c r="F33" s="38"/>
      <c r="G33" s="38"/>
      <c r="H33" s="38"/>
    </row>
    <row r="34" spans="2:8">
      <c r="B34" s="37"/>
      <c r="C34" s="37"/>
      <c r="D34" s="37"/>
      <c r="E34" s="37"/>
      <c r="F34" s="37"/>
      <c r="G34" s="37"/>
      <c r="H34" s="37"/>
    </row>
    <row r="37" spans="2:8">
      <c r="B37" s="43" t="s">
        <v>3</v>
      </c>
      <c r="C37" s="43" t="s">
        <v>4</v>
      </c>
      <c r="D37" s="43" t="s">
        <v>5</v>
      </c>
      <c r="E37" s="43" t="s">
        <v>6</v>
      </c>
      <c r="F37" s="43" t="s">
        <v>7</v>
      </c>
      <c r="G37" s="45" t="s">
        <v>8</v>
      </c>
      <c r="H37" s="44" t="s">
        <v>9</v>
      </c>
    </row>
    <row r="38" spans="2:8">
      <c r="B38" s="43">
        <v>22</v>
      </c>
      <c r="C38" s="43">
        <v>23</v>
      </c>
      <c r="D38" s="43">
        <v>24</v>
      </c>
      <c r="E38" s="43">
        <v>25</v>
      </c>
      <c r="F38" s="43">
        <v>26</v>
      </c>
      <c r="G38" s="43">
        <v>27</v>
      </c>
      <c r="H38" s="43">
        <v>28</v>
      </c>
    </row>
    <row r="39" spans="2:8">
      <c r="B39" s="42"/>
      <c r="C39" s="50" t="s">
        <v>33</v>
      </c>
      <c r="D39" s="39" t="s">
        <v>34</v>
      </c>
      <c r="E39" s="40" t="s">
        <v>35</v>
      </c>
      <c r="F39" s="42" t="s">
        <v>31</v>
      </c>
      <c r="G39" s="42"/>
      <c r="H39" s="42"/>
    </row>
    <row r="40" spans="2:8">
      <c r="B40" s="38"/>
      <c r="C40" s="38"/>
      <c r="D40" s="38"/>
      <c r="E40" s="38"/>
      <c r="F40" s="38"/>
      <c r="G40" s="38"/>
      <c r="H40" s="38"/>
    </row>
    <row r="41" spans="2:8">
      <c r="B41" s="38"/>
      <c r="C41" s="38"/>
      <c r="D41" s="38"/>
      <c r="E41" s="38"/>
      <c r="F41" s="38"/>
      <c r="G41" s="38"/>
      <c r="H41" s="38"/>
    </row>
    <row r="42" spans="2:8">
      <c r="B42" s="38"/>
      <c r="C42" s="38"/>
      <c r="D42" s="38"/>
      <c r="E42" s="38"/>
      <c r="F42" s="38"/>
      <c r="G42" s="38"/>
      <c r="H42" s="38"/>
    </row>
    <row r="43" spans="2:8">
      <c r="B43" s="38"/>
      <c r="C43" s="38"/>
      <c r="D43" s="38"/>
      <c r="E43" s="38"/>
      <c r="F43" s="38"/>
      <c r="G43" s="38"/>
      <c r="H43" s="38"/>
    </row>
    <row r="44" spans="2:8">
      <c r="B44" s="38"/>
      <c r="C44" s="38"/>
      <c r="D44" s="38"/>
      <c r="E44" s="38"/>
      <c r="F44" s="38"/>
      <c r="G44" s="38"/>
      <c r="H44" s="38"/>
    </row>
    <row r="45" spans="2:8">
      <c r="B45" s="37"/>
      <c r="C45" s="37"/>
      <c r="D45" s="37"/>
      <c r="E45" s="37"/>
      <c r="F45" s="37"/>
      <c r="G45" s="37"/>
      <c r="H45" s="37"/>
    </row>
    <row r="46" spans="2:8">
      <c r="C46" t="s">
        <v>36</v>
      </c>
    </row>
    <row r="48" spans="2:8">
      <c r="B48" s="43" t="s">
        <v>3</v>
      </c>
      <c r="C48" s="43" t="s">
        <v>4</v>
      </c>
      <c r="D48" s="43" t="s">
        <v>5</v>
      </c>
    </row>
    <row r="49" spans="2:4">
      <c r="B49" s="43">
        <v>29</v>
      </c>
      <c r="C49" s="43">
        <v>30</v>
      </c>
      <c r="D49" s="43">
        <v>31</v>
      </c>
    </row>
    <row r="50" spans="2:4">
      <c r="B50" s="42"/>
      <c r="C50" s="38" t="s">
        <v>31</v>
      </c>
      <c r="D50" s="38"/>
    </row>
    <row r="51" spans="2:4">
      <c r="B51" s="38"/>
      <c r="C51" s="38"/>
      <c r="D51" s="38"/>
    </row>
    <row r="52" spans="2:4">
      <c r="B52" s="38"/>
      <c r="C52" s="38"/>
      <c r="D52" s="38"/>
    </row>
    <row r="53" spans="2:4">
      <c r="B53" s="38"/>
      <c r="C53" s="38"/>
      <c r="D53" s="38"/>
    </row>
    <row r="54" spans="2:4">
      <c r="B54" s="38"/>
      <c r="C54" s="38"/>
      <c r="D54" s="38"/>
    </row>
    <row r="55" spans="2:4">
      <c r="B55" s="38"/>
      <c r="C55" s="38"/>
      <c r="D55" s="38"/>
    </row>
    <row r="56" spans="2:4">
      <c r="B56" s="37"/>
      <c r="C56" s="37"/>
      <c r="D56" s="37"/>
    </row>
    <row r="57" spans="2:4">
      <c r="D57" t="s">
        <v>37</v>
      </c>
    </row>
  </sheetData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opLeftCell="A26" zoomScale="70" zoomScaleNormal="70" workbookViewId="0">
      <selection activeCell="D14" sqref="D14"/>
    </sheetView>
  </sheetViews>
  <sheetFormatPr defaultColWidth="8.875" defaultRowHeight="13.5"/>
  <cols>
    <col min="1" max="1" width="3.75" customWidth="1"/>
    <col min="2" max="8" width="24.75" customWidth="1"/>
    <col min="9" max="9" width="18.5" customWidth="1"/>
    <col min="10" max="10" width="17.25" customWidth="1"/>
  </cols>
  <sheetData>
    <row r="1" spans="1:8" ht="24">
      <c r="A1" s="64" t="s">
        <v>0</v>
      </c>
      <c r="D1" s="63" t="s">
        <v>38</v>
      </c>
      <c r="E1" s="63" t="s">
        <v>2</v>
      </c>
      <c r="F1" s="62">
        <f ca="1">TODAY()</f>
        <v>45849</v>
      </c>
    </row>
    <row r="4" spans="1:8">
      <c r="E4" s="43" t="s">
        <v>6</v>
      </c>
      <c r="F4" s="43" t="s">
        <v>7</v>
      </c>
      <c r="G4" s="45" t="s">
        <v>8</v>
      </c>
      <c r="H4" s="44" t="s">
        <v>9</v>
      </c>
    </row>
    <row r="5" spans="1:8">
      <c r="E5" s="43">
        <v>1</v>
      </c>
      <c r="F5" s="43">
        <v>2</v>
      </c>
      <c r="G5" s="43">
        <v>3</v>
      </c>
      <c r="H5" s="43">
        <v>4</v>
      </c>
    </row>
    <row r="6" spans="1:8">
      <c r="E6" s="42"/>
      <c r="F6" s="42" t="s">
        <v>31</v>
      </c>
      <c r="G6" s="42"/>
      <c r="H6" s="42"/>
    </row>
    <row r="7" spans="1:8">
      <c r="E7" s="38"/>
      <c r="F7" s="38" t="s">
        <v>39</v>
      </c>
      <c r="G7" s="38"/>
      <c r="H7" s="38"/>
    </row>
    <row r="8" spans="1:8">
      <c r="E8" s="38"/>
      <c r="F8" s="38"/>
      <c r="G8" s="38"/>
      <c r="H8" s="38"/>
    </row>
    <row r="9" spans="1:8">
      <c r="E9" s="38"/>
      <c r="F9" s="38"/>
      <c r="G9" s="38"/>
      <c r="H9" s="38"/>
    </row>
    <row r="10" spans="1:8">
      <c r="E10" s="38"/>
      <c r="F10" s="38"/>
      <c r="G10" s="38"/>
      <c r="H10" s="38"/>
    </row>
    <row r="11" spans="1:8">
      <c r="E11" s="38"/>
      <c r="F11" s="38"/>
      <c r="G11" s="38"/>
      <c r="H11" s="38"/>
    </row>
    <row r="12" spans="1:8">
      <c r="E12" s="37"/>
      <c r="F12" s="37"/>
      <c r="G12" s="37"/>
      <c r="H12" s="37"/>
    </row>
    <row r="14" spans="1:8">
      <c r="B14" s="65"/>
      <c r="C14">
        <v>1</v>
      </c>
    </row>
    <row r="15" spans="1:8">
      <c r="B15" s="43" t="s">
        <v>3</v>
      </c>
      <c r="C15" s="43" t="s">
        <v>4</v>
      </c>
      <c r="D15" s="43" t="s">
        <v>5</v>
      </c>
      <c r="E15" s="43" t="s">
        <v>6</v>
      </c>
      <c r="F15" s="43" t="s">
        <v>7</v>
      </c>
      <c r="G15" s="45" t="s">
        <v>8</v>
      </c>
      <c r="H15" s="44" t="s">
        <v>9</v>
      </c>
    </row>
    <row r="16" spans="1:8">
      <c r="B16" s="43">
        <v>5</v>
      </c>
      <c r="C16" s="43">
        <v>6</v>
      </c>
      <c r="D16" s="43">
        <v>7</v>
      </c>
      <c r="E16" s="43">
        <v>8</v>
      </c>
      <c r="F16" s="43">
        <v>9</v>
      </c>
      <c r="G16" s="43">
        <v>10</v>
      </c>
      <c r="H16" s="43">
        <v>11</v>
      </c>
    </row>
    <row r="17" spans="2:8">
      <c r="B17" s="42"/>
      <c r="C17" s="38" t="s">
        <v>31</v>
      </c>
      <c r="D17" s="38"/>
      <c r="E17" s="42"/>
      <c r="F17" s="42" t="s">
        <v>31</v>
      </c>
      <c r="G17" s="42"/>
      <c r="H17" s="42"/>
    </row>
    <row r="18" spans="2:8">
      <c r="B18" s="38"/>
      <c r="C18" s="38"/>
      <c r="D18" s="38"/>
      <c r="E18" s="38"/>
      <c r="F18" s="38"/>
      <c r="G18" s="38"/>
      <c r="H18" s="38"/>
    </row>
    <row r="19" spans="2:8">
      <c r="B19" s="38"/>
      <c r="C19" s="38"/>
      <c r="D19" s="38"/>
      <c r="E19" s="38"/>
      <c r="F19" s="38"/>
      <c r="G19" s="38"/>
      <c r="H19" s="38"/>
    </row>
    <row r="20" spans="2:8">
      <c r="B20" s="38"/>
      <c r="C20" s="38"/>
      <c r="D20" s="38"/>
      <c r="E20" s="38"/>
      <c r="F20" s="38"/>
      <c r="G20" s="38"/>
      <c r="H20" s="38"/>
    </row>
    <row r="21" spans="2:8">
      <c r="B21" s="38"/>
      <c r="C21" s="38"/>
      <c r="D21" s="38"/>
      <c r="E21" s="38"/>
      <c r="F21" s="38"/>
      <c r="G21" s="38"/>
      <c r="H21" s="38"/>
    </row>
    <row r="22" spans="2:8">
      <c r="B22" s="38"/>
      <c r="C22" s="38"/>
      <c r="D22" s="38"/>
      <c r="E22" s="38"/>
      <c r="F22" s="38"/>
      <c r="G22" s="38"/>
      <c r="H22" s="38"/>
    </row>
    <row r="23" spans="2:8">
      <c r="B23" s="37"/>
      <c r="C23" s="37"/>
      <c r="D23" s="37"/>
      <c r="E23" s="37"/>
      <c r="F23" s="37"/>
      <c r="G23" s="37"/>
      <c r="H23" s="37"/>
    </row>
    <row r="26" spans="2:8" ht="14.1" customHeight="1">
      <c r="B26" s="43" t="s">
        <v>3</v>
      </c>
      <c r="C26" s="43" t="s">
        <v>4</v>
      </c>
      <c r="D26" s="43" t="s">
        <v>5</v>
      </c>
      <c r="E26" s="43" t="s">
        <v>6</v>
      </c>
      <c r="F26" s="43" t="s">
        <v>7</v>
      </c>
      <c r="G26" s="45" t="s">
        <v>8</v>
      </c>
      <c r="H26" s="44" t="s">
        <v>9</v>
      </c>
    </row>
    <row r="27" spans="2:8">
      <c r="B27" s="43">
        <v>12</v>
      </c>
      <c r="C27" s="43">
        <v>13</v>
      </c>
      <c r="D27" s="43">
        <v>14</v>
      </c>
      <c r="E27" s="43">
        <v>15</v>
      </c>
      <c r="F27" s="43">
        <v>16</v>
      </c>
      <c r="G27" s="43">
        <v>17</v>
      </c>
      <c r="H27" s="43">
        <v>18</v>
      </c>
    </row>
    <row r="28" spans="2:8">
      <c r="B28" s="42"/>
      <c r="C28" s="50" t="s">
        <v>40</v>
      </c>
      <c r="D28" s="38"/>
      <c r="E28" s="42"/>
      <c r="F28" s="42" t="s">
        <v>31</v>
      </c>
      <c r="G28" s="42"/>
      <c r="H28" s="42"/>
    </row>
    <row r="29" spans="2:8">
      <c r="B29" s="38"/>
      <c r="C29" s="38"/>
      <c r="D29" s="38"/>
      <c r="E29" s="38"/>
      <c r="F29" s="38" t="s">
        <v>41</v>
      </c>
      <c r="G29" s="38"/>
      <c r="H29" s="38"/>
    </row>
    <row r="30" spans="2:8">
      <c r="B30" s="38"/>
      <c r="C30" s="38"/>
      <c r="D30" s="38"/>
      <c r="E30" s="38"/>
      <c r="F30" s="38"/>
      <c r="G30" s="38"/>
      <c r="H30" s="38"/>
    </row>
    <row r="31" spans="2:8">
      <c r="B31" s="38"/>
      <c r="C31" s="38"/>
      <c r="D31" s="38"/>
      <c r="E31" s="38"/>
      <c r="F31" s="38"/>
      <c r="G31" s="38"/>
      <c r="H31" s="38"/>
    </row>
    <row r="32" spans="2:8">
      <c r="B32" s="38"/>
      <c r="C32" s="38"/>
      <c r="D32" s="38"/>
      <c r="E32" s="38"/>
      <c r="F32" s="38"/>
      <c r="G32" s="38"/>
      <c r="H32" s="38"/>
    </row>
    <row r="33" spans="2:8">
      <c r="B33" s="38"/>
      <c r="C33" s="38"/>
      <c r="D33" s="38"/>
      <c r="E33" s="38"/>
      <c r="F33" s="38"/>
      <c r="G33" s="38"/>
      <c r="H33" s="38"/>
    </row>
    <row r="34" spans="2:8">
      <c r="B34" s="37"/>
      <c r="C34" s="37"/>
      <c r="D34" s="37"/>
      <c r="E34" s="37"/>
      <c r="F34" s="37"/>
      <c r="G34" s="37"/>
      <c r="H34" s="37"/>
    </row>
    <row r="35" spans="2:8">
      <c r="C35" t="s">
        <v>42</v>
      </c>
    </row>
    <row r="37" spans="2:8">
      <c r="B37" s="43" t="s">
        <v>3</v>
      </c>
      <c r="C37" s="43" t="s">
        <v>4</v>
      </c>
      <c r="D37" s="43" t="s">
        <v>5</v>
      </c>
      <c r="E37" s="43" t="s">
        <v>6</v>
      </c>
      <c r="F37" s="43" t="s">
        <v>7</v>
      </c>
      <c r="G37" s="45" t="s">
        <v>8</v>
      </c>
      <c r="H37" s="44" t="s">
        <v>9</v>
      </c>
    </row>
    <row r="38" spans="2:8">
      <c r="B38" s="43">
        <v>19</v>
      </c>
      <c r="C38" s="43">
        <v>20</v>
      </c>
      <c r="D38" s="43">
        <v>21</v>
      </c>
      <c r="E38" s="43">
        <v>22</v>
      </c>
      <c r="F38" s="43">
        <v>23</v>
      </c>
      <c r="G38" s="43">
        <v>24</v>
      </c>
      <c r="H38" s="43">
        <v>25</v>
      </c>
    </row>
    <row r="39" spans="2:8">
      <c r="B39" s="42"/>
      <c r="C39" s="50" t="s">
        <v>43</v>
      </c>
      <c r="D39" s="38"/>
      <c r="E39" s="42"/>
      <c r="F39" s="42" t="s">
        <v>31</v>
      </c>
      <c r="G39" s="42"/>
      <c r="H39" s="42"/>
    </row>
    <row r="40" spans="2:8">
      <c r="B40" s="38"/>
      <c r="C40" s="38"/>
      <c r="D40" s="38"/>
      <c r="E40" s="38"/>
      <c r="F40" s="38"/>
      <c r="G40" s="38"/>
      <c r="H40" s="38"/>
    </row>
    <row r="41" spans="2:8">
      <c r="B41" s="38"/>
      <c r="C41" s="38"/>
      <c r="D41" s="38"/>
      <c r="E41" s="38"/>
      <c r="F41" s="38"/>
      <c r="G41" s="38"/>
      <c r="H41" s="38"/>
    </row>
    <row r="42" spans="2:8">
      <c r="B42" s="38"/>
      <c r="C42" s="38"/>
      <c r="D42" s="38"/>
      <c r="E42" s="38"/>
      <c r="F42" s="38"/>
      <c r="G42" s="38"/>
      <c r="H42" s="38"/>
    </row>
    <row r="43" spans="2:8">
      <c r="B43" s="38"/>
      <c r="C43" s="38"/>
      <c r="D43" s="38"/>
      <c r="E43" s="38"/>
      <c r="F43" s="38"/>
      <c r="G43" s="38"/>
      <c r="H43" s="38"/>
    </row>
    <row r="44" spans="2:8">
      <c r="B44" s="38"/>
      <c r="C44" s="38"/>
      <c r="D44" s="38"/>
      <c r="E44" s="38"/>
      <c r="F44" s="38"/>
      <c r="G44" s="38"/>
      <c r="H44" s="38"/>
    </row>
    <row r="45" spans="2:8">
      <c r="B45" s="37"/>
      <c r="C45" s="37"/>
      <c r="D45" s="37"/>
      <c r="E45" s="37"/>
      <c r="F45" s="37"/>
      <c r="G45" s="37"/>
      <c r="H45" s="37"/>
    </row>
    <row r="48" spans="2:8">
      <c r="B48" s="43" t="s">
        <v>3</v>
      </c>
      <c r="C48" s="43" t="s">
        <v>4</v>
      </c>
      <c r="D48" s="43" t="s">
        <v>5</v>
      </c>
      <c r="E48" s="43" t="s">
        <v>6</v>
      </c>
      <c r="F48" s="43" t="s">
        <v>7</v>
      </c>
    </row>
    <row r="49" spans="2:6">
      <c r="B49" s="43">
        <v>26</v>
      </c>
      <c r="C49" s="43">
        <v>27</v>
      </c>
      <c r="D49" s="43">
        <v>28</v>
      </c>
      <c r="E49" s="43">
        <v>29</v>
      </c>
      <c r="F49" s="43">
        <v>30</v>
      </c>
    </row>
    <row r="50" spans="2:6">
      <c r="B50" s="42"/>
      <c r="C50" s="50" t="s">
        <v>44</v>
      </c>
      <c r="D50" s="38"/>
      <c r="E50" s="41" t="s">
        <v>45</v>
      </c>
      <c r="F50" s="41" t="s">
        <v>46</v>
      </c>
    </row>
    <row r="51" spans="2:6">
      <c r="B51" s="38"/>
      <c r="C51" s="50" t="s">
        <v>47</v>
      </c>
      <c r="D51" s="38"/>
      <c r="E51" s="38"/>
      <c r="F51" s="38"/>
    </row>
    <row r="52" spans="2:6">
      <c r="B52" s="38"/>
      <c r="C52" s="38"/>
      <c r="D52" s="38"/>
      <c r="E52" s="38"/>
      <c r="F52" s="38"/>
    </row>
    <row r="53" spans="2:6">
      <c r="B53" s="38"/>
      <c r="C53" s="38"/>
      <c r="D53" s="38"/>
      <c r="E53" s="38"/>
      <c r="F53" s="38"/>
    </row>
    <row r="54" spans="2:6">
      <c r="B54" s="38"/>
      <c r="C54" s="38"/>
      <c r="D54" s="38"/>
      <c r="E54" s="38"/>
      <c r="F54" s="38"/>
    </row>
    <row r="55" spans="2:6">
      <c r="B55" s="38"/>
      <c r="C55" s="38"/>
      <c r="D55" s="38"/>
      <c r="E55" s="38"/>
      <c r="F55" s="38"/>
    </row>
    <row r="56" spans="2:6">
      <c r="B56" s="37"/>
      <c r="C56" s="37"/>
      <c r="D56" s="37"/>
      <c r="E56" s="37"/>
      <c r="F56" s="37"/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88"/>
  <sheetViews>
    <sheetView tabSelected="1" topLeftCell="B1" zoomScale="135" zoomScaleNormal="70" workbookViewId="0">
      <selection activeCell="C43" sqref="C43"/>
    </sheetView>
  </sheetViews>
  <sheetFormatPr defaultColWidth="8.875" defaultRowHeight="13.5"/>
  <cols>
    <col min="1" max="1" width="3.875" customWidth="1"/>
    <col min="2" max="2" width="52.25" style="2" customWidth="1"/>
    <col min="3" max="3" width="9" style="2"/>
    <col min="4" max="4" width="8.25" style="1" customWidth="1"/>
    <col min="5" max="6" width="6.75" style="4" customWidth="1"/>
    <col min="7" max="8" width="6.75" style="7" customWidth="1"/>
    <col min="9" max="9" width="6.75" style="1" customWidth="1"/>
    <col min="10" max="24" width="4.75" style="6" customWidth="1"/>
    <col min="25" max="25" width="2.75" customWidth="1"/>
    <col min="36" max="36" width="14.125" customWidth="1"/>
    <col min="37" max="37" width="4.75" customWidth="1"/>
    <col min="38" max="38" width="3.75" customWidth="1"/>
  </cols>
  <sheetData>
    <row r="1" spans="1:24" ht="15" customHeight="1">
      <c r="A1" s="72" t="s">
        <v>48</v>
      </c>
      <c r="B1" s="72" t="s">
        <v>49</v>
      </c>
      <c r="C1" s="72" t="s">
        <v>50</v>
      </c>
      <c r="D1" s="72" t="s">
        <v>51</v>
      </c>
      <c r="E1" s="75" t="s">
        <v>52</v>
      </c>
      <c r="F1" s="75" t="s">
        <v>53</v>
      </c>
      <c r="G1" s="72" t="s">
        <v>54</v>
      </c>
      <c r="H1" s="72" t="s">
        <v>55</v>
      </c>
      <c r="I1" s="72" t="s">
        <v>56</v>
      </c>
      <c r="J1" s="69" t="s">
        <v>57</v>
      </c>
      <c r="K1" s="70"/>
      <c r="L1" s="70"/>
      <c r="M1" s="70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1:24">
      <c r="A2" s="72"/>
      <c r="B2" s="73"/>
      <c r="C2" s="73"/>
      <c r="D2" s="72"/>
      <c r="E2" s="75"/>
      <c r="F2" s="75"/>
      <c r="G2" s="76"/>
      <c r="H2" s="76"/>
      <c r="I2" s="72"/>
      <c r="J2" s="16" t="s">
        <v>58</v>
      </c>
      <c r="K2" s="16" t="s">
        <v>59</v>
      </c>
      <c r="L2" s="16" t="s">
        <v>60</v>
      </c>
      <c r="M2" s="16" t="s">
        <v>61</v>
      </c>
      <c r="N2" s="16" t="s">
        <v>62</v>
      </c>
      <c r="O2" s="16" t="s">
        <v>63</v>
      </c>
      <c r="P2" s="16" t="s">
        <v>64</v>
      </c>
      <c r="Q2" s="16" t="s">
        <v>65</v>
      </c>
      <c r="R2" s="16" t="s">
        <v>66</v>
      </c>
      <c r="S2" s="16" t="s">
        <v>67</v>
      </c>
      <c r="T2" s="16" t="s">
        <v>68</v>
      </c>
      <c r="U2" s="16" t="s">
        <v>69</v>
      </c>
      <c r="V2" s="16" t="s">
        <v>70</v>
      </c>
      <c r="W2" s="16" t="s">
        <v>71</v>
      </c>
      <c r="X2" s="22" t="s">
        <v>72</v>
      </c>
    </row>
    <row r="3" spans="1:24">
      <c r="A3" s="72"/>
      <c r="B3" s="73"/>
      <c r="C3" s="73"/>
      <c r="D3" s="72"/>
      <c r="E3" s="75"/>
      <c r="F3" s="75"/>
      <c r="G3" s="76"/>
      <c r="H3" s="76"/>
      <c r="I3" s="72"/>
      <c r="J3" s="13">
        <f t="shared" ref="J3:X3" si="0">INT(($J$4-(COLUMN()-COLUMN($J4))*($J$4/COUNTA($J$2:$X$2))))</f>
        <v>88</v>
      </c>
      <c r="K3" s="13">
        <f t="shared" si="0"/>
        <v>82</v>
      </c>
      <c r="L3" s="13">
        <f t="shared" si="0"/>
        <v>76</v>
      </c>
      <c r="M3" s="13">
        <f t="shared" si="0"/>
        <v>70</v>
      </c>
      <c r="N3" s="13">
        <f t="shared" si="0"/>
        <v>64</v>
      </c>
      <c r="O3" s="13">
        <f t="shared" si="0"/>
        <v>58</v>
      </c>
      <c r="P3" s="13">
        <f t="shared" si="0"/>
        <v>52</v>
      </c>
      <c r="Q3" s="13">
        <f t="shared" si="0"/>
        <v>46</v>
      </c>
      <c r="R3" s="13">
        <f t="shared" si="0"/>
        <v>41</v>
      </c>
      <c r="S3" s="13">
        <f t="shared" si="0"/>
        <v>35</v>
      </c>
      <c r="T3" s="13">
        <f t="shared" si="0"/>
        <v>29</v>
      </c>
      <c r="U3" s="13">
        <f t="shared" si="0"/>
        <v>23</v>
      </c>
      <c r="V3" s="13">
        <f t="shared" si="0"/>
        <v>17</v>
      </c>
      <c r="W3" s="13">
        <f t="shared" si="0"/>
        <v>11</v>
      </c>
      <c r="X3" s="13">
        <f t="shared" si="0"/>
        <v>5</v>
      </c>
    </row>
    <row r="4" spans="1:24">
      <c r="A4" s="72"/>
      <c r="B4" s="73"/>
      <c r="C4" s="74"/>
      <c r="D4" s="72"/>
      <c r="E4" s="75"/>
      <c r="F4" s="75"/>
      <c r="G4" s="76"/>
      <c r="H4" s="76"/>
      <c r="I4" s="72"/>
      <c r="J4" s="14">
        <f>SUM(J5:J104)</f>
        <v>88</v>
      </c>
      <c r="K4" s="14">
        <f t="shared" ref="K4:X4" si="1">SUM(K5:K104)</f>
        <v>88</v>
      </c>
      <c r="L4" s="14">
        <f t="shared" si="1"/>
        <v>88</v>
      </c>
      <c r="M4" s="14">
        <f t="shared" si="1"/>
        <v>88</v>
      </c>
      <c r="N4" s="14">
        <f t="shared" si="1"/>
        <v>41</v>
      </c>
      <c r="O4" s="14">
        <f t="shared" si="1"/>
        <v>35</v>
      </c>
      <c r="P4" s="14">
        <f t="shared" si="1"/>
        <v>27</v>
      </c>
      <c r="Q4" s="14">
        <f t="shared" si="1"/>
        <v>17</v>
      </c>
      <c r="R4" s="14">
        <f t="shared" si="1"/>
        <v>10</v>
      </c>
      <c r="S4" s="14">
        <f t="shared" si="1"/>
        <v>7</v>
      </c>
      <c r="T4" s="14">
        <f t="shared" si="1"/>
        <v>4</v>
      </c>
      <c r="U4" s="14">
        <f t="shared" si="1"/>
        <v>4</v>
      </c>
      <c r="V4" s="14">
        <f t="shared" si="1"/>
        <v>3</v>
      </c>
      <c r="W4" s="14">
        <f t="shared" si="1"/>
        <v>3</v>
      </c>
      <c r="X4" s="14">
        <f t="shared" si="1"/>
        <v>3</v>
      </c>
    </row>
    <row r="5" spans="1:24" ht="14.25">
      <c r="A5" s="68">
        <v>1</v>
      </c>
      <c r="B5" s="25" t="s">
        <v>73</v>
      </c>
      <c r="C5" s="12"/>
      <c r="D5" s="9" t="str">
        <f ca="1">IF(ISBLANK($B5),"",IF(ISBLANK(#REF!),"未着手",IF($I5=0,"完了","作業中")))</f>
        <v>作業中</v>
      </c>
      <c r="E5" s="3"/>
      <c r="F5" s="3"/>
      <c r="I5" s="9" t="str">
        <f t="shared" ref="I5:I36" ca="1" si="2">IF(ISBLANK(J5)=FALSE,OFFSET(I5,0,COUNTA(J5:X5)),"")</f>
        <v/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ht="14.25">
      <c r="A6" s="68">
        <v>2</v>
      </c>
      <c r="B6" s="25" t="s">
        <v>74</v>
      </c>
      <c r="C6" s="8" t="s">
        <v>75</v>
      </c>
      <c r="D6" s="9" t="str">
        <f t="shared" ref="D6:D37" ca="1" si="3">IF(ISBLANK($B6),"",IF(ISBLANK($F6),"未着手",IF($I6=0,"完了","作業中")))</f>
        <v>完了</v>
      </c>
      <c r="E6" s="3">
        <v>42842</v>
      </c>
      <c r="F6" s="3">
        <v>42842</v>
      </c>
      <c r="G6" s="12">
        <v>1</v>
      </c>
      <c r="H6" s="12">
        <v>1</v>
      </c>
      <c r="I6" s="9">
        <f t="shared" ca="1" si="2"/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</row>
    <row r="7" spans="1:24" ht="14.25">
      <c r="A7" s="68">
        <v>3</v>
      </c>
      <c r="B7" s="25" t="s">
        <v>76</v>
      </c>
      <c r="C7" s="8" t="s">
        <v>75</v>
      </c>
      <c r="D7" s="9" t="str">
        <f t="shared" ca="1" si="3"/>
        <v>完了</v>
      </c>
      <c r="E7" s="3">
        <v>42842</v>
      </c>
      <c r="F7" s="3">
        <v>42842</v>
      </c>
      <c r="G7" s="12">
        <v>1</v>
      </c>
      <c r="H7" s="12">
        <v>1</v>
      </c>
      <c r="I7" s="9">
        <f t="shared" ca="1" si="2"/>
        <v>0</v>
      </c>
      <c r="J7" s="15">
        <v>1</v>
      </c>
      <c r="K7" s="15">
        <v>1</v>
      </c>
      <c r="L7" s="15">
        <v>1</v>
      </c>
      <c r="M7" s="15">
        <v>1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</row>
    <row r="8" spans="1:24" ht="14.25">
      <c r="A8" s="68">
        <v>4</v>
      </c>
      <c r="B8" s="25" t="s">
        <v>77</v>
      </c>
      <c r="C8" s="8" t="s">
        <v>75</v>
      </c>
      <c r="D8" s="9" t="str">
        <f t="shared" ca="1" si="3"/>
        <v>完了</v>
      </c>
      <c r="E8" s="3">
        <v>42842</v>
      </c>
      <c r="F8" s="3">
        <v>42842</v>
      </c>
      <c r="G8" s="12">
        <v>1</v>
      </c>
      <c r="H8" s="12">
        <v>1</v>
      </c>
      <c r="I8" s="9">
        <f t="shared" ca="1" si="2"/>
        <v>0</v>
      </c>
      <c r="J8" s="15">
        <v>1</v>
      </c>
      <c r="K8" s="15">
        <v>1</v>
      </c>
      <c r="L8" s="15">
        <v>1</v>
      </c>
      <c r="M8" s="15">
        <v>1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</row>
    <row r="9" spans="1:24" ht="14.25">
      <c r="A9" s="68">
        <v>5</v>
      </c>
      <c r="B9" s="25" t="s">
        <v>78</v>
      </c>
      <c r="C9" s="8" t="s">
        <v>75</v>
      </c>
      <c r="D9" s="9" t="str">
        <f t="shared" ca="1" si="3"/>
        <v>完了</v>
      </c>
      <c r="E9" s="3">
        <v>42842</v>
      </c>
      <c r="F9" s="3">
        <v>42842</v>
      </c>
      <c r="G9" s="12">
        <v>1</v>
      </c>
      <c r="H9" s="12">
        <v>1</v>
      </c>
      <c r="I9" s="9">
        <f t="shared" ca="1" si="2"/>
        <v>0</v>
      </c>
      <c r="J9" s="15">
        <v>1</v>
      </c>
      <c r="K9" s="15">
        <v>1</v>
      </c>
      <c r="L9" s="15">
        <v>1</v>
      </c>
      <c r="M9" s="15">
        <v>1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</row>
    <row r="10" spans="1:24" ht="14.25">
      <c r="A10" s="68">
        <v>6</v>
      </c>
      <c r="B10" s="25" t="s">
        <v>79</v>
      </c>
      <c r="C10" s="8" t="s">
        <v>75</v>
      </c>
      <c r="D10" s="9" t="str">
        <f t="shared" ca="1" si="3"/>
        <v>完了</v>
      </c>
      <c r="E10" s="3">
        <v>42843</v>
      </c>
      <c r="F10" s="3">
        <v>42843</v>
      </c>
      <c r="G10" s="12">
        <v>1</v>
      </c>
      <c r="H10" s="12">
        <v>1</v>
      </c>
      <c r="I10" s="9">
        <f t="shared" ca="1" si="2"/>
        <v>0</v>
      </c>
      <c r="J10" s="15">
        <v>1</v>
      </c>
      <c r="K10" s="15">
        <v>1</v>
      </c>
      <c r="L10" s="15">
        <v>1</v>
      </c>
      <c r="M10" s="15">
        <v>1</v>
      </c>
      <c r="N10" s="15">
        <v>1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</row>
    <row r="11" spans="1:24" ht="14.25">
      <c r="A11" s="68">
        <v>7</v>
      </c>
      <c r="B11" s="25" t="s">
        <v>80</v>
      </c>
      <c r="C11" s="8" t="s">
        <v>81</v>
      </c>
      <c r="D11" s="9" t="str">
        <f t="shared" ca="1" si="3"/>
        <v>完了</v>
      </c>
      <c r="E11" s="3">
        <v>42844</v>
      </c>
      <c r="F11" s="3">
        <v>42844</v>
      </c>
      <c r="G11" s="12">
        <v>1</v>
      </c>
      <c r="H11" s="12">
        <v>1</v>
      </c>
      <c r="I11" s="9">
        <f t="shared" ca="1" si="2"/>
        <v>0</v>
      </c>
      <c r="J11" s="15">
        <v>1</v>
      </c>
      <c r="K11" s="15">
        <v>1</v>
      </c>
      <c r="L11" s="15">
        <v>1</v>
      </c>
      <c r="M11" s="15">
        <v>1</v>
      </c>
      <c r="N11" s="15">
        <v>1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</row>
    <row r="12" spans="1:24" ht="14.25">
      <c r="A12" s="68">
        <v>8</v>
      </c>
      <c r="B12" s="25" t="s">
        <v>82</v>
      </c>
      <c r="C12" s="8" t="s">
        <v>75</v>
      </c>
      <c r="D12" s="9" t="str">
        <f t="shared" ca="1" si="3"/>
        <v>完了</v>
      </c>
      <c r="E12" s="3">
        <v>42844</v>
      </c>
      <c r="F12" s="3">
        <v>42844</v>
      </c>
      <c r="G12" s="12">
        <v>1</v>
      </c>
      <c r="H12" s="12">
        <v>1</v>
      </c>
      <c r="I12" s="9">
        <f t="shared" ca="1" si="2"/>
        <v>0</v>
      </c>
      <c r="J12" s="15">
        <v>1</v>
      </c>
      <c r="K12" s="15">
        <v>1</v>
      </c>
      <c r="L12" s="15">
        <v>1</v>
      </c>
      <c r="M12" s="15">
        <v>1</v>
      </c>
      <c r="N12" s="15">
        <v>1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</row>
    <row r="13" spans="1:24" ht="14.25">
      <c r="A13" s="68">
        <v>9</v>
      </c>
      <c r="B13" s="26" t="s">
        <v>83</v>
      </c>
      <c r="C13" s="8" t="s">
        <v>75</v>
      </c>
      <c r="D13" s="9" t="str">
        <f t="shared" ca="1" si="3"/>
        <v>完了</v>
      </c>
      <c r="E13" s="3">
        <v>42844</v>
      </c>
      <c r="F13" s="3">
        <v>42844</v>
      </c>
      <c r="G13" s="12">
        <v>1</v>
      </c>
      <c r="H13" s="12">
        <v>1</v>
      </c>
      <c r="I13" s="9">
        <f t="shared" ca="1" si="2"/>
        <v>0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</row>
    <row r="14" spans="1:24" ht="14.25">
      <c r="A14" s="68">
        <v>10</v>
      </c>
      <c r="B14" s="25" t="s">
        <v>84</v>
      </c>
      <c r="C14" s="8" t="s">
        <v>75</v>
      </c>
      <c r="D14" s="9" t="str">
        <f t="shared" ca="1" si="3"/>
        <v>完了</v>
      </c>
      <c r="E14" s="3">
        <v>42842</v>
      </c>
      <c r="F14" s="3">
        <v>42842</v>
      </c>
      <c r="G14" s="12">
        <v>1</v>
      </c>
      <c r="H14" s="12">
        <v>1</v>
      </c>
      <c r="I14" s="9">
        <f t="shared" ca="1" si="2"/>
        <v>0</v>
      </c>
      <c r="J14" s="15">
        <v>1</v>
      </c>
      <c r="K14" s="15">
        <v>1</v>
      </c>
      <c r="L14" s="15">
        <v>1</v>
      </c>
      <c r="M14" s="15">
        <v>1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1:24" ht="14.25">
      <c r="A15" s="68">
        <v>11</v>
      </c>
      <c r="B15" s="25" t="s">
        <v>85</v>
      </c>
      <c r="C15" s="8" t="s">
        <v>86</v>
      </c>
      <c r="D15" s="9" t="str">
        <f t="shared" ca="1" si="3"/>
        <v>完了</v>
      </c>
      <c r="E15" s="3">
        <v>42843</v>
      </c>
      <c r="F15" s="3">
        <v>42843</v>
      </c>
      <c r="G15" s="12">
        <v>1</v>
      </c>
      <c r="H15" s="12">
        <v>1</v>
      </c>
      <c r="I15" s="9">
        <f t="shared" ca="1" si="2"/>
        <v>0</v>
      </c>
      <c r="J15" s="15">
        <v>1</v>
      </c>
      <c r="K15" s="15">
        <v>1</v>
      </c>
      <c r="L15" s="15">
        <v>1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1:24" ht="14.25">
      <c r="A16" s="68">
        <v>12</v>
      </c>
      <c r="B16" s="25" t="s">
        <v>87</v>
      </c>
      <c r="C16" s="8" t="s">
        <v>75</v>
      </c>
      <c r="D16" s="9" t="str">
        <f t="shared" ca="1" si="3"/>
        <v>完了</v>
      </c>
      <c r="E16" s="3">
        <v>42843</v>
      </c>
      <c r="F16" s="3">
        <v>42843</v>
      </c>
      <c r="G16" s="12">
        <v>1</v>
      </c>
      <c r="H16" s="12">
        <v>1</v>
      </c>
      <c r="I16" s="9">
        <f t="shared" ca="1" si="2"/>
        <v>0</v>
      </c>
      <c r="J16" s="15">
        <v>1</v>
      </c>
      <c r="K16" s="15">
        <v>1</v>
      </c>
      <c r="L16" s="15">
        <v>1</v>
      </c>
      <c r="M16" s="15">
        <v>1</v>
      </c>
      <c r="N16" s="15">
        <v>1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1:24" ht="14.25">
      <c r="A17" s="68">
        <v>13</v>
      </c>
      <c r="B17" s="25" t="s">
        <v>88</v>
      </c>
      <c r="C17" s="8" t="s">
        <v>75</v>
      </c>
      <c r="D17" s="9" t="str">
        <f t="shared" ca="1" si="3"/>
        <v>完了</v>
      </c>
      <c r="E17" s="3">
        <v>42843</v>
      </c>
      <c r="F17" s="3">
        <v>42843</v>
      </c>
      <c r="G17" s="12">
        <v>2</v>
      </c>
      <c r="H17" s="12">
        <v>2</v>
      </c>
      <c r="I17" s="9">
        <f t="shared" ca="1" si="2"/>
        <v>0</v>
      </c>
      <c r="J17" s="15">
        <v>2</v>
      </c>
      <c r="K17" s="15">
        <v>2</v>
      </c>
      <c r="L17" s="15">
        <v>2</v>
      </c>
      <c r="M17" s="15">
        <v>2</v>
      </c>
      <c r="N17" s="15">
        <v>2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1:24" ht="14.25">
      <c r="A18" s="68">
        <v>14</v>
      </c>
      <c r="B18" s="25" t="s">
        <v>89</v>
      </c>
      <c r="C18" s="8" t="s">
        <v>75</v>
      </c>
      <c r="D18" s="9" t="str">
        <f t="shared" ca="1" si="3"/>
        <v>完了</v>
      </c>
      <c r="E18" s="3">
        <v>42844</v>
      </c>
      <c r="F18" s="3">
        <v>42844</v>
      </c>
      <c r="G18" s="12">
        <v>2</v>
      </c>
      <c r="H18" s="12">
        <v>0</v>
      </c>
      <c r="I18" s="9">
        <f t="shared" ca="1" si="2"/>
        <v>0</v>
      </c>
      <c r="J18" s="15">
        <v>2</v>
      </c>
      <c r="K18" s="15">
        <v>2</v>
      </c>
      <c r="L18" s="15">
        <v>2</v>
      </c>
      <c r="M18" s="15">
        <v>2</v>
      </c>
      <c r="N18" s="15">
        <v>2</v>
      </c>
      <c r="O18" s="15">
        <v>2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1:24" ht="14.25">
      <c r="A19" s="68">
        <v>15</v>
      </c>
      <c r="B19" s="25" t="s">
        <v>90</v>
      </c>
      <c r="C19" s="8" t="s">
        <v>75</v>
      </c>
      <c r="D19" s="9" t="str">
        <f t="shared" ca="1" si="3"/>
        <v>完了</v>
      </c>
      <c r="E19" s="3">
        <v>42844</v>
      </c>
      <c r="F19" s="3">
        <v>42844</v>
      </c>
      <c r="G19" s="12">
        <v>2</v>
      </c>
      <c r="H19" s="12">
        <v>0</v>
      </c>
      <c r="I19" s="9">
        <f t="shared" ca="1" si="2"/>
        <v>0</v>
      </c>
      <c r="J19" s="15">
        <v>2</v>
      </c>
      <c r="K19" s="15">
        <v>2</v>
      </c>
      <c r="L19" s="15">
        <v>2</v>
      </c>
      <c r="M19" s="15">
        <v>2</v>
      </c>
      <c r="N19" s="15">
        <v>2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1:24" ht="14.25">
      <c r="A20" s="68">
        <v>16</v>
      </c>
      <c r="B20" s="25" t="s">
        <v>91</v>
      </c>
      <c r="C20" s="8" t="s">
        <v>75</v>
      </c>
      <c r="D20" s="9" t="str">
        <f t="shared" ca="1" si="3"/>
        <v>完了</v>
      </c>
      <c r="E20" s="3">
        <v>42844</v>
      </c>
      <c r="F20" s="3">
        <v>42844</v>
      </c>
      <c r="G20" s="12">
        <v>1</v>
      </c>
      <c r="H20" s="12">
        <v>1</v>
      </c>
      <c r="I20" s="9">
        <f t="shared" ca="1" si="2"/>
        <v>0</v>
      </c>
      <c r="J20" s="15">
        <v>1</v>
      </c>
      <c r="K20" s="15">
        <v>1</v>
      </c>
      <c r="L20" s="15">
        <v>1</v>
      </c>
      <c r="M20" s="15">
        <v>1</v>
      </c>
      <c r="N20" s="15">
        <v>1</v>
      </c>
      <c r="O20" s="15">
        <v>1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1:24" ht="14.25">
      <c r="A21" s="68">
        <v>17</v>
      </c>
      <c r="B21" s="25" t="s">
        <v>92</v>
      </c>
      <c r="C21" s="8" t="s">
        <v>75</v>
      </c>
      <c r="D21" s="9" t="str">
        <f t="shared" ca="1" si="3"/>
        <v>完了</v>
      </c>
      <c r="E21" s="3">
        <v>42845</v>
      </c>
      <c r="F21" s="3">
        <v>42845</v>
      </c>
      <c r="G21" s="12">
        <v>2</v>
      </c>
      <c r="H21" s="12">
        <v>1</v>
      </c>
      <c r="I21" s="9">
        <f t="shared" ca="1" si="2"/>
        <v>0</v>
      </c>
      <c r="J21" s="15">
        <v>1</v>
      </c>
      <c r="K21" s="15">
        <v>1</v>
      </c>
      <c r="L21" s="15">
        <v>1</v>
      </c>
      <c r="M21" s="15">
        <v>1</v>
      </c>
      <c r="N21" s="15">
        <v>1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</row>
    <row r="22" spans="1:24" ht="14.25">
      <c r="A22" s="68">
        <v>18</v>
      </c>
      <c r="B22" s="25" t="s">
        <v>93</v>
      </c>
      <c r="C22" s="8" t="s">
        <v>75</v>
      </c>
      <c r="D22" s="9" t="str">
        <f t="shared" ca="1" si="3"/>
        <v>完了</v>
      </c>
      <c r="E22" s="3">
        <v>42845</v>
      </c>
      <c r="F22" s="3">
        <v>42845</v>
      </c>
      <c r="G22" s="12">
        <v>1</v>
      </c>
      <c r="H22" s="12">
        <v>1</v>
      </c>
      <c r="I22" s="9">
        <f t="shared" ca="1" si="2"/>
        <v>0</v>
      </c>
      <c r="J22" s="15">
        <v>1</v>
      </c>
      <c r="K22" s="15">
        <v>1</v>
      </c>
      <c r="L22" s="15">
        <v>1</v>
      </c>
      <c r="M22" s="15">
        <v>1</v>
      </c>
      <c r="N22" s="15">
        <v>1</v>
      </c>
      <c r="O22" s="15">
        <v>1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14.25">
      <c r="A23" s="68">
        <v>19</v>
      </c>
      <c r="B23" s="25" t="s">
        <v>94</v>
      </c>
      <c r="C23" s="8" t="s">
        <v>75</v>
      </c>
      <c r="D23" s="9" t="str">
        <f t="shared" ca="1" si="3"/>
        <v>完了</v>
      </c>
      <c r="E23" s="3">
        <v>42845</v>
      </c>
      <c r="F23" s="3">
        <v>42845</v>
      </c>
      <c r="G23" s="12">
        <v>1</v>
      </c>
      <c r="H23" s="12">
        <v>1</v>
      </c>
      <c r="I23" s="9">
        <f t="shared" ca="1" si="2"/>
        <v>0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5">
        <v>1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14.25">
      <c r="A24" s="68">
        <v>20</v>
      </c>
      <c r="B24" s="25" t="s">
        <v>95</v>
      </c>
      <c r="C24" s="8" t="s">
        <v>75</v>
      </c>
      <c r="D24" s="9" t="str">
        <f t="shared" ca="1" si="3"/>
        <v>完了</v>
      </c>
      <c r="E24" s="3">
        <v>42846</v>
      </c>
      <c r="F24" s="3">
        <v>42846</v>
      </c>
      <c r="G24" s="12">
        <v>1</v>
      </c>
      <c r="H24" s="12">
        <v>1</v>
      </c>
      <c r="I24" s="9">
        <f t="shared" ca="1" si="2"/>
        <v>0</v>
      </c>
      <c r="J24" s="15">
        <v>1</v>
      </c>
      <c r="K24" s="15">
        <v>1</v>
      </c>
      <c r="L24" s="15">
        <v>1</v>
      </c>
      <c r="M24" s="15">
        <v>1</v>
      </c>
      <c r="N24" s="15">
        <v>1</v>
      </c>
      <c r="O24" s="15">
        <v>1</v>
      </c>
      <c r="P24" s="15">
        <v>1</v>
      </c>
      <c r="Q24" s="15">
        <v>1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ht="14.25">
      <c r="A25" s="68">
        <v>21</v>
      </c>
      <c r="B25" s="25" t="s">
        <v>96</v>
      </c>
      <c r="C25" s="8" t="s">
        <v>75</v>
      </c>
      <c r="D25" s="9" t="str">
        <f t="shared" ca="1" si="3"/>
        <v>完了</v>
      </c>
      <c r="E25" s="3">
        <v>42846</v>
      </c>
      <c r="F25" s="3">
        <v>42846</v>
      </c>
      <c r="G25" s="12">
        <v>1</v>
      </c>
      <c r="H25" s="12">
        <v>1</v>
      </c>
      <c r="I25" s="9">
        <f t="shared" ca="1" si="2"/>
        <v>0</v>
      </c>
      <c r="J25" s="15">
        <v>1</v>
      </c>
      <c r="K25" s="15">
        <v>1</v>
      </c>
      <c r="L25" s="15">
        <v>1</v>
      </c>
      <c r="M25" s="15">
        <v>1</v>
      </c>
      <c r="N25" s="15">
        <v>1</v>
      </c>
      <c r="O25" s="15">
        <v>1</v>
      </c>
      <c r="P25" s="15">
        <v>1</v>
      </c>
      <c r="Q25" s="15">
        <v>1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14.25">
      <c r="A26" s="68">
        <v>22</v>
      </c>
      <c r="B26" s="25" t="s">
        <v>97</v>
      </c>
      <c r="C26" s="8" t="s">
        <v>75</v>
      </c>
      <c r="D26" s="9" t="str">
        <f t="shared" ca="1" si="3"/>
        <v>完了</v>
      </c>
      <c r="E26" s="3">
        <v>42847</v>
      </c>
      <c r="F26" s="3">
        <v>42847</v>
      </c>
      <c r="G26" s="12">
        <v>1</v>
      </c>
      <c r="H26" s="12">
        <v>1</v>
      </c>
      <c r="I26" s="9">
        <f t="shared" ca="1" si="2"/>
        <v>0</v>
      </c>
      <c r="J26" s="15">
        <v>1</v>
      </c>
      <c r="K26" s="15">
        <v>1</v>
      </c>
      <c r="L26" s="15">
        <v>1</v>
      </c>
      <c r="M26" s="15">
        <v>1</v>
      </c>
      <c r="N26" s="15">
        <v>1</v>
      </c>
      <c r="O26" s="15">
        <v>1</v>
      </c>
      <c r="P26" s="15">
        <v>1</v>
      </c>
      <c r="Q26" s="15">
        <v>1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</row>
    <row r="27" spans="1:24" ht="14.25">
      <c r="A27" s="68">
        <v>23</v>
      </c>
      <c r="B27" s="25" t="s">
        <v>98</v>
      </c>
      <c r="C27" s="8" t="s">
        <v>81</v>
      </c>
      <c r="D27" s="9" t="str">
        <f t="shared" ca="1" si="3"/>
        <v>完了</v>
      </c>
      <c r="E27" s="3">
        <v>42845</v>
      </c>
      <c r="F27" s="3">
        <v>42845</v>
      </c>
      <c r="G27" s="12">
        <v>1</v>
      </c>
      <c r="H27" s="12">
        <v>1</v>
      </c>
      <c r="I27" s="9">
        <f t="shared" ca="1" si="2"/>
        <v>0</v>
      </c>
      <c r="J27" s="15">
        <v>1</v>
      </c>
      <c r="K27" s="15">
        <v>1</v>
      </c>
      <c r="L27" s="15">
        <v>1</v>
      </c>
      <c r="M27" s="15">
        <v>1</v>
      </c>
      <c r="N27" s="15">
        <v>1</v>
      </c>
      <c r="O27" s="15">
        <v>1</v>
      </c>
      <c r="P27" s="15">
        <v>1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14.25">
      <c r="A28" s="68">
        <v>24</v>
      </c>
      <c r="B28" s="25" t="s">
        <v>99</v>
      </c>
      <c r="C28" s="8" t="s">
        <v>75</v>
      </c>
      <c r="D28" s="9" t="str">
        <f t="shared" ca="1" si="3"/>
        <v>完了</v>
      </c>
      <c r="E28" s="3">
        <v>42845</v>
      </c>
      <c r="F28" s="3">
        <v>42845</v>
      </c>
      <c r="G28" s="12">
        <v>1</v>
      </c>
      <c r="H28" s="12">
        <v>1</v>
      </c>
      <c r="I28" s="9">
        <f t="shared" ca="1" si="2"/>
        <v>0</v>
      </c>
      <c r="J28" s="15">
        <v>1</v>
      </c>
      <c r="K28" s="15">
        <v>1</v>
      </c>
      <c r="L28" s="15">
        <v>1</v>
      </c>
      <c r="M28" s="15">
        <v>1</v>
      </c>
      <c r="N28" s="15">
        <v>1</v>
      </c>
      <c r="O28" s="15">
        <v>1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1:24" ht="14.25">
      <c r="A29" s="68">
        <v>25</v>
      </c>
      <c r="B29" s="25"/>
      <c r="C29" s="8"/>
      <c r="D29" s="9" t="str">
        <f t="shared" si="3"/>
        <v/>
      </c>
      <c r="E29" s="3"/>
      <c r="F29" s="3"/>
      <c r="G29" s="12"/>
      <c r="H29" s="12"/>
      <c r="I29" s="9" t="str">
        <f t="shared" ca="1" si="2"/>
        <v/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ht="14.25">
      <c r="A30" s="68">
        <v>26</v>
      </c>
      <c r="B30" s="25"/>
      <c r="C30" s="8"/>
      <c r="D30" s="9" t="str">
        <f t="shared" si="3"/>
        <v/>
      </c>
      <c r="E30" s="3"/>
      <c r="F30" s="3"/>
      <c r="G30" s="12"/>
      <c r="H30" s="12"/>
      <c r="I30" s="9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ht="14.25">
      <c r="A31" s="68">
        <v>27</v>
      </c>
      <c r="B31" s="25" t="s">
        <v>100</v>
      </c>
      <c r="C31" s="8" t="s">
        <v>75</v>
      </c>
      <c r="D31" s="9" t="str">
        <f t="shared" ca="1" si="3"/>
        <v>完了</v>
      </c>
      <c r="E31" s="3">
        <v>42845</v>
      </c>
      <c r="F31" s="3">
        <v>42845</v>
      </c>
      <c r="G31" s="12">
        <v>2</v>
      </c>
      <c r="H31" s="12">
        <v>2</v>
      </c>
      <c r="I31" s="9">
        <f t="shared" ca="1" si="2"/>
        <v>0</v>
      </c>
      <c r="J31" s="15">
        <v>3</v>
      </c>
      <c r="K31" s="15">
        <v>3</v>
      </c>
      <c r="L31" s="15">
        <v>3</v>
      </c>
      <c r="M31" s="15">
        <v>3</v>
      </c>
      <c r="N31" s="15">
        <v>3</v>
      </c>
      <c r="O31" s="15">
        <v>3</v>
      </c>
      <c r="P31" s="15">
        <v>3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1:24" ht="14.25">
      <c r="A32" s="68">
        <v>28</v>
      </c>
      <c r="B32" s="25" t="s">
        <v>101</v>
      </c>
      <c r="C32" s="8" t="s">
        <v>86</v>
      </c>
      <c r="D32" s="9" t="str">
        <f t="shared" ca="1" si="3"/>
        <v>完了</v>
      </c>
      <c r="E32" s="3">
        <v>42845</v>
      </c>
      <c r="F32" s="3">
        <v>42845</v>
      </c>
      <c r="G32" s="12">
        <v>1</v>
      </c>
      <c r="H32" s="12">
        <v>1</v>
      </c>
      <c r="I32" s="9">
        <f t="shared" ca="1" si="2"/>
        <v>0</v>
      </c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>
        <v>1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1:24" ht="14.25">
      <c r="A33" s="68">
        <v>29</v>
      </c>
      <c r="B33" s="25" t="s">
        <v>102</v>
      </c>
      <c r="C33" s="8" t="s">
        <v>75</v>
      </c>
      <c r="D33" s="9" t="str">
        <f t="shared" ca="1" si="3"/>
        <v>完了</v>
      </c>
      <c r="E33" s="3">
        <v>42846</v>
      </c>
      <c r="F33" s="3">
        <v>42846</v>
      </c>
      <c r="G33" s="12">
        <v>2</v>
      </c>
      <c r="H33" s="12">
        <v>2</v>
      </c>
      <c r="I33" s="9">
        <f t="shared" ca="1" si="2"/>
        <v>0</v>
      </c>
      <c r="J33" s="15">
        <v>2</v>
      </c>
      <c r="K33" s="15">
        <v>2</v>
      </c>
      <c r="L33" s="15">
        <v>2</v>
      </c>
      <c r="M33" s="15">
        <v>2</v>
      </c>
      <c r="N33" s="15">
        <v>2</v>
      </c>
      <c r="O33" s="15">
        <v>2</v>
      </c>
      <c r="P33" s="15">
        <v>2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</row>
    <row r="34" spans="1:24" ht="14.25">
      <c r="A34" s="68">
        <v>30</v>
      </c>
      <c r="B34" s="25" t="s">
        <v>103</v>
      </c>
      <c r="C34" s="8" t="s">
        <v>86</v>
      </c>
      <c r="D34" s="9" t="str">
        <f t="shared" ca="1" si="3"/>
        <v>完了</v>
      </c>
      <c r="E34" s="3">
        <v>42846</v>
      </c>
      <c r="F34" s="3">
        <v>42846</v>
      </c>
      <c r="G34" s="12">
        <v>2</v>
      </c>
      <c r="H34" s="7">
        <v>2</v>
      </c>
      <c r="I34" s="9">
        <f t="shared" ca="1" si="2"/>
        <v>0</v>
      </c>
      <c r="J34" s="15">
        <v>2</v>
      </c>
      <c r="K34" s="15">
        <v>2</v>
      </c>
      <c r="L34" s="15">
        <v>2</v>
      </c>
      <c r="M34" s="15">
        <v>2</v>
      </c>
      <c r="N34" s="15">
        <v>2</v>
      </c>
      <c r="O34" s="15">
        <v>2</v>
      </c>
      <c r="P34" s="15">
        <v>2</v>
      </c>
      <c r="Q34" s="15">
        <v>2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</row>
    <row r="35" spans="1:24" ht="14.25">
      <c r="A35" s="68">
        <v>31</v>
      </c>
      <c r="B35" s="25" t="s">
        <v>104</v>
      </c>
      <c r="C35" s="8" t="s">
        <v>86</v>
      </c>
      <c r="D35" s="9" t="str">
        <f t="shared" si="3"/>
        <v>完了</v>
      </c>
      <c r="E35" s="3">
        <v>42850</v>
      </c>
      <c r="F35" s="3">
        <v>42850</v>
      </c>
      <c r="G35" s="12">
        <v>2</v>
      </c>
      <c r="H35" s="12">
        <v>2</v>
      </c>
      <c r="I35" s="9">
        <v>0</v>
      </c>
      <c r="J35" s="9">
        <v>2</v>
      </c>
      <c r="K35" s="9">
        <v>2</v>
      </c>
      <c r="L35" s="9">
        <v>2</v>
      </c>
      <c r="M35" s="9">
        <v>2</v>
      </c>
      <c r="N35" s="9">
        <v>2</v>
      </c>
      <c r="O35" s="9">
        <v>2</v>
      </c>
      <c r="P35" s="9">
        <v>2</v>
      </c>
      <c r="Q35" s="9">
        <v>2</v>
      </c>
      <c r="R35" s="9">
        <v>2</v>
      </c>
      <c r="S35" s="9">
        <v>2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</row>
    <row r="36" spans="1:24" ht="14.25">
      <c r="A36" s="68">
        <v>32</v>
      </c>
      <c r="B36" s="25" t="s">
        <v>105</v>
      </c>
      <c r="C36" s="8" t="s">
        <v>86</v>
      </c>
      <c r="D36" s="9" t="str">
        <f t="shared" ca="1" si="3"/>
        <v>完了</v>
      </c>
      <c r="E36" s="3">
        <v>42846</v>
      </c>
      <c r="F36" s="3">
        <v>42846</v>
      </c>
      <c r="G36" s="12">
        <v>3</v>
      </c>
      <c r="H36" s="12">
        <v>3</v>
      </c>
      <c r="I36" s="9">
        <f t="shared" ca="1" si="2"/>
        <v>0</v>
      </c>
      <c r="J36" s="15">
        <v>3</v>
      </c>
      <c r="K36" s="15">
        <v>3</v>
      </c>
      <c r="L36" s="15">
        <v>3</v>
      </c>
      <c r="M36" s="15">
        <v>3</v>
      </c>
      <c r="N36" s="15">
        <v>3</v>
      </c>
      <c r="O36" s="15">
        <v>3</v>
      </c>
      <c r="P36" s="15">
        <v>3</v>
      </c>
      <c r="Q36" s="15">
        <v>3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</row>
    <row r="37" spans="1:24" ht="14.25">
      <c r="A37" s="68">
        <v>33</v>
      </c>
      <c r="B37" s="25" t="s">
        <v>106</v>
      </c>
      <c r="C37" s="8" t="s">
        <v>86</v>
      </c>
      <c r="D37" s="9" t="str">
        <f t="shared" ca="1" si="3"/>
        <v>完了</v>
      </c>
      <c r="E37" s="3">
        <v>42849</v>
      </c>
      <c r="F37" s="3">
        <v>42849</v>
      </c>
      <c r="G37" s="12">
        <v>2</v>
      </c>
      <c r="H37" s="12">
        <v>2</v>
      </c>
      <c r="I37" s="9">
        <f t="shared" ref="I37:I68" ca="1" si="4">IF(ISBLANK(J37)=FALSE,OFFSET(I37,0,COUNTA(J37:X37)),"")</f>
        <v>0</v>
      </c>
      <c r="J37" s="15">
        <v>2</v>
      </c>
      <c r="K37" s="15">
        <v>2</v>
      </c>
      <c r="L37" s="15">
        <v>2</v>
      </c>
      <c r="M37" s="15">
        <v>2</v>
      </c>
      <c r="N37" s="15">
        <v>2</v>
      </c>
      <c r="O37" s="15">
        <v>2</v>
      </c>
      <c r="P37" s="15">
        <v>2</v>
      </c>
      <c r="Q37" s="15">
        <v>2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</row>
    <row r="38" spans="1:24" ht="14.25">
      <c r="A38" s="68">
        <v>34</v>
      </c>
      <c r="B38" s="25" t="s">
        <v>107</v>
      </c>
      <c r="C38" s="8" t="s">
        <v>86</v>
      </c>
      <c r="D38" s="9" t="str">
        <f t="shared" ref="D38:D63" ca="1" si="5">IF(ISBLANK($B38),"",IF(ISBLANK($F38),"未着手",IF($I38=0,"完了","作業中")))</f>
        <v>完了</v>
      </c>
      <c r="E38" s="3">
        <v>42850</v>
      </c>
      <c r="F38" s="3">
        <v>42850</v>
      </c>
      <c r="G38" s="12">
        <v>1</v>
      </c>
      <c r="H38" s="12">
        <v>1</v>
      </c>
      <c r="I38" s="9">
        <f t="shared" ca="1" si="4"/>
        <v>0</v>
      </c>
      <c r="J38" s="15">
        <v>1</v>
      </c>
      <c r="K38" s="15">
        <v>1</v>
      </c>
      <c r="L38" s="15">
        <v>1</v>
      </c>
      <c r="M38" s="15">
        <v>1</v>
      </c>
      <c r="N38" s="15">
        <v>1</v>
      </c>
      <c r="O38" s="15">
        <v>1</v>
      </c>
      <c r="P38" s="15">
        <v>1</v>
      </c>
      <c r="Q38" s="15">
        <v>1</v>
      </c>
      <c r="R38" s="15">
        <v>1</v>
      </c>
      <c r="S38" s="15">
        <v>1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</row>
    <row r="39" spans="1:24" ht="14.25">
      <c r="A39" s="68">
        <v>35</v>
      </c>
      <c r="B39" s="25" t="s">
        <v>108</v>
      </c>
      <c r="C39" s="8" t="s">
        <v>86</v>
      </c>
      <c r="D39" s="9" t="str">
        <f t="shared" ca="1" si="5"/>
        <v>作業中</v>
      </c>
      <c r="E39" s="3">
        <v>42857</v>
      </c>
      <c r="F39" s="3">
        <v>42857</v>
      </c>
      <c r="G39" s="12">
        <v>1</v>
      </c>
      <c r="H39" s="12">
        <v>1</v>
      </c>
      <c r="I39" s="9">
        <f ca="1">IF(ISBLANK(J39)=FALSE,OFFSET(I39,0,COUNTA(J39:X39)),"")</f>
        <v>1</v>
      </c>
      <c r="J39" s="15">
        <v>1</v>
      </c>
      <c r="K39" s="15">
        <v>1</v>
      </c>
      <c r="L39" s="15">
        <v>1</v>
      </c>
      <c r="M39" s="15">
        <v>1</v>
      </c>
      <c r="N39" s="15">
        <v>1</v>
      </c>
      <c r="O39" s="15">
        <v>1</v>
      </c>
      <c r="P39" s="15">
        <v>1</v>
      </c>
      <c r="Q39" s="15">
        <v>1</v>
      </c>
      <c r="R39" s="15">
        <v>1</v>
      </c>
      <c r="S39" s="15">
        <v>1</v>
      </c>
      <c r="T39" s="15">
        <v>1</v>
      </c>
      <c r="U39" s="15">
        <v>1</v>
      </c>
      <c r="V39" s="15">
        <v>1</v>
      </c>
      <c r="W39" s="15">
        <v>1</v>
      </c>
      <c r="X39" s="15">
        <v>1</v>
      </c>
    </row>
    <row r="40" spans="1:24" ht="14.25">
      <c r="A40" s="68">
        <v>36</v>
      </c>
      <c r="B40" s="25" t="s">
        <v>109</v>
      </c>
      <c r="C40" s="8" t="s">
        <v>86</v>
      </c>
      <c r="D40" s="9" t="str">
        <f t="shared" ca="1" si="5"/>
        <v>完了</v>
      </c>
      <c r="E40" s="3">
        <v>42852</v>
      </c>
      <c r="F40" s="3">
        <v>42852</v>
      </c>
      <c r="G40" s="12">
        <v>1</v>
      </c>
      <c r="H40" s="12">
        <v>1</v>
      </c>
      <c r="I40" s="9">
        <f t="shared" ca="1" si="4"/>
        <v>0</v>
      </c>
      <c r="J40" s="15">
        <v>1</v>
      </c>
      <c r="K40" s="15">
        <v>1</v>
      </c>
      <c r="L40" s="15">
        <v>1</v>
      </c>
      <c r="M40" s="15">
        <v>1</v>
      </c>
      <c r="N40" s="15">
        <v>1</v>
      </c>
      <c r="O40" s="15">
        <v>1</v>
      </c>
      <c r="P40" s="15">
        <v>1</v>
      </c>
      <c r="Q40" s="15">
        <v>1</v>
      </c>
      <c r="R40" s="15">
        <v>1</v>
      </c>
      <c r="S40" s="15">
        <v>1</v>
      </c>
      <c r="T40" s="15">
        <v>1</v>
      </c>
      <c r="U40" s="15">
        <v>1</v>
      </c>
      <c r="V40" s="15">
        <v>0</v>
      </c>
      <c r="W40" s="15">
        <v>0</v>
      </c>
      <c r="X40" s="15">
        <v>0</v>
      </c>
    </row>
    <row r="41" spans="1:24" ht="14.25">
      <c r="A41" s="68">
        <v>37</v>
      </c>
      <c r="B41" s="25" t="s">
        <v>110</v>
      </c>
      <c r="C41" s="8" t="s">
        <v>86</v>
      </c>
      <c r="D41" s="9" t="str">
        <f t="shared" si="5"/>
        <v>作業中</v>
      </c>
      <c r="E41" s="3">
        <v>42854</v>
      </c>
      <c r="F41" s="3">
        <v>42854</v>
      </c>
      <c r="G41" s="12">
        <v>1</v>
      </c>
      <c r="H41" s="12">
        <v>1</v>
      </c>
      <c r="I41" s="9">
        <v>1</v>
      </c>
      <c r="J41" s="15">
        <v>1</v>
      </c>
      <c r="K41" s="15">
        <v>1</v>
      </c>
      <c r="L41" s="15">
        <v>1</v>
      </c>
      <c r="M41" s="15">
        <v>1</v>
      </c>
      <c r="N41" s="15">
        <v>1</v>
      </c>
      <c r="O41" s="15">
        <v>1</v>
      </c>
      <c r="P41" s="15">
        <v>1</v>
      </c>
      <c r="Q41" s="15">
        <v>1</v>
      </c>
      <c r="R41" s="15">
        <v>1</v>
      </c>
      <c r="S41" s="15">
        <v>1</v>
      </c>
      <c r="T41" s="15">
        <v>1</v>
      </c>
      <c r="U41" s="15">
        <v>1</v>
      </c>
      <c r="V41" s="15">
        <v>1</v>
      </c>
      <c r="W41" s="15">
        <v>1</v>
      </c>
      <c r="X41" s="15">
        <v>1</v>
      </c>
    </row>
    <row r="42" spans="1:24" ht="14.25">
      <c r="A42" s="68">
        <v>38</v>
      </c>
      <c r="B42" s="25" t="s">
        <v>111</v>
      </c>
      <c r="C42" s="8" t="s">
        <v>86</v>
      </c>
      <c r="D42" s="9" t="str">
        <f t="shared" ca="1" si="5"/>
        <v>作業中</v>
      </c>
      <c r="E42" s="3">
        <v>42865</v>
      </c>
      <c r="F42" s="3">
        <v>42865</v>
      </c>
      <c r="G42" s="12">
        <v>1</v>
      </c>
      <c r="H42" s="12">
        <v>1</v>
      </c>
      <c r="I42" s="9">
        <f t="shared" ca="1" si="4"/>
        <v>1</v>
      </c>
      <c r="J42" s="15">
        <v>1</v>
      </c>
      <c r="K42" s="15">
        <v>1</v>
      </c>
      <c r="L42" s="15">
        <v>1</v>
      </c>
      <c r="M42" s="15">
        <v>1</v>
      </c>
      <c r="N42" s="15">
        <v>1</v>
      </c>
      <c r="O42" s="15">
        <v>1</v>
      </c>
      <c r="P42" s="15">
        <v>1</v>
      </c>
      <c r="Q42" s="15">
        <v>1</v>
      </c>
      <c r="R42" s="15">
        <v>1</v>
      </c>
      <c r="S42" s="15">
        <v>1</v>
      </c>
      <c r="T42" s="15">
        <v>1</v>
      </c>
      <c r="U42" s="15">
        <v>1</v>
      </c>
      <c r="V42" s="15">
        <v>1</v>
      </c>
      <c r="W42" s="15">
        <v>1</v>
      </c>
      <c r="X42" s="15">
        <v>1</v>
      </c>
    </row>
    <row r="43" spans="1:24" ht="14.25">
      <c r="A43" s="68">
        <v>39</v>
      </c>
      <c r="B43" s="25" t="s">
        <v>112</v>
      </c>
      <c r="C43" s="8" t="s">
        <v>75</v>
      </c>
      <c r="D43" s="9" t="str">
        <f t="shared" si="5"/>
        <v>未着手</v>
      </c>
      <c r="E43" s="3">
        <v>42856</v>
      </c>
      <c r="F43" s="3"/>
      <c r="G43" s="12">
        <v>1</v>
      </c>
      <c r="H43" s="12">
        <v>1</v>
      </c>
      <c r="I43" s="9">
        <f t="shared" ca="1" si="4"/>
        <v>1</v>
      </c>
      <c r="J43" s="15">
        <v>1</v>
      </c>
      <c r="K43" s="15">
        <v>1</v>
      </c>
      <c r="L43" s="15">
        <v>1</v>
      </c>
      <c r="M43" s="15">
        <v>1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 ht="14.25">
      <c r="A44" s="68">
        <v>40</v>
      </c>
      <c r="B44" s="25" t="s">
        <v>113</v>
      </c>
      <c r="C44" s="8" t="s">
        <v>86</v>
      </c>
      <c r="D44" s="9" t="str">
        <f t="shared" si="5"/>
        <v>未着手</v>
      </c>
      <c r="E44" s="3">
        <v>42867</v>
      </c>
      <c r="F44" s="3"/>
      <c r="G44" s="12">
        <v>1</v>
      </c>
      <c r="H44" s="12">
        <v>1</v>
      </c>
      <c r="I44" s="9">
        <f t="shared" ca="1" si="4"/>
        <v>1</v>
      </c>
      <c r="J44" s="15">
        <v>1</v>
      </c>
      <c r="K44" s="15">
        <v>1</v>
      </c>
      <c r="L44" s="15">
        <v>1</v>
      </c>
      <c r="M44" s="15">
        <v>1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ht="14.25">
      <c r="A45" s="68">
        <v>41</v>
      </c>
      <c r="B45" s="25" t="s">
        <v>114</v>
      </c>
      <c r="C45" s="8" t="s">
        <v>81</v>
      </c>
      <c r="D45" s="9" t="str">
        <f t="shared" ca="1" si="5"/>
        <v>完了</v>
      </c>
      <c r="E45" s="3">
        <v>42845</v>
      </c>
      <c r="F45" s="3">
        <v>42845</v>
      </c>
      <c r="G45" s="12">
        <v>1</v>
      </c>
      <c r="H45" s="12">
        <v>1</v>
      </c>
      <c r="I45" s="9">
        <f t="shared" ca="1" si="4"/>
        <v>0</v>
      </c>
      <c r="J45" s="15">
        <v>1</v>
      </c>
      <c r="K45" s="15">
        <v>1</v>
      </c>
      <c r="L45" s="15">
        <v>1</v>
      </c>
      <c r="M45" s="15">
        <v>1</v>
      </c>
      <c r="N45" s="15"/>
      <c r="O45" s="15"/>
      <c r="P45" s="15"/>
      <c r="Q45" s="15"/>
      <c r="R45" s="15">
        <v>0</v>
      </c>
      <c r="S45" s="15"/>
      <c r="T45" s="15"/>
      <c r="U45" s="15"/>
      <c r="V45" s="15"/>
      <c r="W45" s="15"/>
      <c r="X45" s="15"/>
    </row>
    <row r="46" spans="1:24" ht="14.25">
      <c r="A46" s="68">
        <v>42</v>
      </c>
      <c r="B46" s="25" t="s">
        <v>115</v>
      </c>
      <c r="C46" s="8" t="s">
        <v>81</v>
      </c>
      <c r="D46" s="9" t="str">
        <f t="shared" ca="1" si="5"/>
        <v>完了</v>
      </c>
      <c r="E46" s="3">
        <v>42843</v>
      </c>
      <c r="F46" s="3">
        <v>42843</v>
      </c>
      <c r="G46" s="12">
        <v>1</v>
      </c>
      <c r="H46" s="12">
        <v>1</v>
      </c>
      <c r="I46" s="9">
        <f t="shared" ca="1" si="4"/>
        <v>0</v>
      </c>
      <c r="J46" s="15">
        <v>1</v>
      </c>
      <c r="K46" s="15">
        <v>1</v>
      </c>
      <c r="L46" s="15">
        <v>1</v>
      </c>
      <c r="M46" s="15">
        <v>1</v>
      </c>
      <c r="N46" s="15"/>
      <c r="O46" s="15"/>
      <c r="P46" s="15"/>
      <c r="Q46" s="15">
        <v>0</v>
      </c>
      <c r="R46" s="15"/>
      <c r="S46" s="15"/>
      <c r="T46" s="15"/>
      <c r="U46" s="15"/>
      <c r="V46" s="15"/>
      <c r="W46" s="15"/>
      <c r="X46" s="15"/>
    </row>
    <row r="47" spans="1:24" ht="14.25">
      <c r="A47" s="68">
        <v>43</v>
      </c>
      <c r="B47" s="25" t="s">
        <v>116</v>
      </c>
      <c r="C47" s="8" t="s">
        <v>81</v>
      </c>
      <c r="D47" s="9" t="str">
        <f t="shared" ca="1" si="5"/>
        <v>完了</v>
      </c>
      <c r="E47" s="3">
        <v>42844</v>
      </c>
      <c r="F47" s="3">
        <v>42844</v>
      </c>
      <c r="G47" s="12">
        <v>1</v>
      </c>
      <c r="H47" s="12">
        <v>1</v>
      </c>
      <c r="I47" s="9">
        <f t="shared" ca="1" si="4"/>
        <v>0</v>
      </c>
      <c r="J47" s="15">
        <v>1</v>
      </c>
      <c r="K47" s="15">
        <v>1</v>
      </c>
      <c r="L47" s="15">
        <v>1</v>
      </c>
      <c r="M47" s="15">
        <v>1</v>
      </c>
      <c r="N47" s="15"/>
      <c r="O47" s="15"/>
      <c r="P47" s="15"/>
      <c r="Q47" s="15">
        <v>0</v>
      </c>
      <c r="R47" s="15"/>
      <c r="S47" s="15"/>
      <c r="T47" s="15"/>
      <c r="U47" s="15"/>
      <c r="V47" s="15"/>
      <c r="W47" s="15"/>
      <c r="X47" s="15"/>
    </row>
    <row r="48" spans="1:24" ht="14.25">
      <c r="A48" s="68">
        <v>44</v>
      </c>
      <c r="B48" s="25" t="s">
        <v>117</v>
      </c>
      <c r="C48" s="8" t="s">
        <v>118</v>
      </c>
      <c r="D48" s="9" t="str">
        <f t="shared" ca="1" si="5"/>
        <v>完了</v>
      </c>
      <c r="E48" s="3">
        <v>42865</v>
      </c>
      <c r="F48" s="3">
        <v>42865</v>
      </c>
      <c r="G48" s="12">
        <v>1</v>
      </c>
      <c r="H48" s="12">
        <v>1</v>
      </c>
      <c r="I48" s="9">
        <f t="shared" ca="1" si="4"/>
        <v>0</v>
      </c>
      <c r="J48" s="15">
        <v>1</v>
      </c>
      <c r="K48" s="15">
        <v>1</v>
      </c>
      <c r="L48" s="15">
        <v>1</v>
      </c>
      <c r="M48" s="15">
        <v>1</v>
      </c>
      <c r="N48" s="15"/>
      <c r="O48" s="15"/>
      <c r="P48" s="15">
        <v>0</v>
      </c>
      <c r="Q48" s="15"/>
      <c r="R48" s="15"/>
      <c r="S48" s="15"/>
      <c r="T48" s="15"/>
      <c r="U48" s="15"/>
      <c r="V48" s="15"/>
      <c r="W48" s="15"/>
      <c r="X48" s="15"/>
    </row>
    <row r="49" spans="1:24" ht="14.25">
      <c r="A49" s="68">
        <v>45</v>
      </c>
      <c r="B49" s="25" t="s">
        <v>119</v>
      </c>
      <c r="C49" s="8" t="s">
        <v>120</v>
      </c>
      <c r="D49" s="9"/>
      <c r="E49" s="3"/>
      <c r="F49" s="3"/>
      <c r="G49" s="12">
        <v>1</v>
      </c>
      <c r="H49" s="12">
        <v>1</v>
      </c>
      <c r="I49" s="9">
        <f t="shared" ca="1" si="4"/>
        <v>2</v>
      </c>
      <c r="J49" s="15">
        <v>2</v>
      </c>
      <c r="K49" s="15">
        <v>2</v>
      </c>
      <c r="L49" s="15">
        <v>2</v>
      </c>
      <c r="M49" s="15">
        <v>2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 ht="14.25">
      <c r="A50" s="68">
        <v>46</v>
      </c>
      <c r="B50" s="25" t="s">
        <v>121</v>
      </c>
      <c r="C50" s="8" t="s">
        <v>120</v>
      </c>
      <c r="D50" s="9" t="str">
        <f t="shared" ca="1" si="5"/>
        <v>完了</v>
      </c>
      <c r="E50" s="3">
        <v>42842</v>
      </c>
      <c r="F50" s="3">
        <v>42842</v>
      </c>
      <c r="G50" s="12">
        <v>1</v>
      </c>
      <c r="H50" s="12">
        <v>1</v>
      </c>
      <c r="I50" s="9">
        <f ca="1">IF(ISBLANK(J50)=FALSE,OFFSET(I50,0,COUNTA(J50:X50)),"")</f>
        <v>0</v>
      </c>
      <c r="J50" s="15">
        <v>1</v>
      </c>
      <c r="K50" s="15">
        <v>1</v>
      </c>
      <c r="L50" s="15">
        <v>1</v>
      </c>
      <c r="M50" s="15">
        <v>1</v>
      </c>
      <c r="N50" s="15">
        <v>0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ht="14.25">
      <c r="A51" s="68">
        <v>47</v>
      </c>
      <c r="B51" s="25" t="s">
        <v>122</v>
      </c>
      <c r="C51" s="8" t="s">
        <v>120</v>
      </c>
      <c r="D51" s="9" t="str">
        <f t="shared" ca="1" si="5"/>
        <v>完了</v>
      </c>
      <c r="E51" s="3">
        <v>42843</v>
      </c>
      <c r="F51" s="3">
        <v>42843</v>
      </c>
      <c r="G51" s="12">
        <v>3</v>
      </c>
      <c r="H51" s="12">
        <v>3</v>
      </c>
      <c r="I51" s="9">
        <f t="shared" ca="1" si="4"/>
        <v>0</v>
      </c>
      <c r="J51" s="15">
        <v>3</v>
      </c>
      <c r="K51" s="15">
        <v>3</v>
      </c>
      <c r="L51" s="15">
        <v>3</v>
      </c>
      <c r="M51" s="15">
        <v>3</v>
      </c>
      <c r="N51" s="15"/>
      <c r="O51" s="15">
        <v>0</v>
      </c>
      <c r="P51" s="15"/>
      <c r="Q51" s="15"/>
      <c r="R51" s="15"/>
      <c r="S51" s="15"/>
      <c r="T51" s="15"/>
      <c r="U51" s="15"/>
      <c r="V51" s="15"/>
      <c r="W51" s="15"/>
      <c r="X51" s="15"/>
    </row>
    <row r="52" spans="1:24" ht="14.25">
      <c r="A52" s="68">
        <v>48</v>
      </c>
      <c r="B52" s="25" t="s">
        <v>123</v>
      </c>
      <c r="C52" s="8" t="s">
        <v>120</v>
      </c>
      <c r="D52" s="9" t="str">
        <f t="shared" ca="1" si="5"/>
        <v>完了</v>
      </c>
      <c r="E52" s="3">
        <v>42844</v>
      </c>
      <c r="F52" s="3">
        <v>42844</v>
      </c>
      <c r="G52" s="12">
        <v>4</v>
      </c>
      <c r="H52" s="12">
        <v>4</v>
      </c>
      <c r="I52" s="9">
        <f t="shared" ca="1" si="4"/>
        <v>0</v>
      </c>
      <c r="J52" s="15">
        <v>4</v>
      </c>
      <c r="K52" s="15">
        <v>4</v>
      </c>
      <c r="L52" s="15">
        <v>4</v>
      </c>
      <c r="M52" s="15">
        <v>4</v>
      </c>
      <c r="N52" s="15"/>
      <c r="O52" s="15">
        <v>0</v>
      </c>
      <c r="P52" s="15"/>
      <c r="Q52" s="15"/>
      <c r="R52" s="15"/>
      <c r="S52" s="15"/>
      <c r="T52" s="15"/>
      <c r="U52" s="15"/>
      <c r="V52" s="15"/>
      <c r="W52" s="15"/>
      <c r="X52" s="15"/>
    </row>
    <row r="53" spans="1:24" ht="14.25">
      <c r="A53" s="68">
        <v>49</v>
      </c>
      <c r="B53" s="25" t="s">
        <v>124</v>
      </c>
      <c r="C53" s="8" t="s">
        <v>120</v>
      </c>
      <c r="D53" s="9" t="str">
        <f t="shared" ca="1" si="5"/>
        <v>完了</v>
      </c>
      <c r="E53" s="3">
        <v>42844</v>
      </c>
      <c r="F53" s="3">
        <v>42844</v>
      </c>
      <c r="G53" s="12">
        <v>2</v>
      </c>
      <c r="H53" s="12">
        <v>2</v>
      </c>
      <c r="I53" s="9">
        <f t="shared" ca="1" si="4"/>
        <v>0</v>
      </c>
      <c r="J53" s="15">
        <v>2</v>
      </c>
      <c r="K53" s="15">
        <v>2</v>
      </c>
      <c r="L53" s="15">
        <v>2</v>
      </c>
      <c r="M53" s="15">
        <v>2</v>
      </c>
      <c r="N53" s="15"/>
      <c r="O53" s="15">
        <v>0</v>
      </c>
      <c r="P53" s="15"/>
      <c r="Q53" s="15"/>
      <c r="R53" s="15"/>
      <c r="S53" s="15"/>
      <c r="T53" s="15"/>
      <c r="U53" s="15"/>
      <c r="V53" s="15"/>
      <c r="W53" s="15"/>
      <c r="X53" s="15"/>
    </row>
    <row r="54" spans="1:24" ht="14.25">
      <c r="A54" s="68">
        <v>50</v>
      </c>
      <c r="B54" s="25" t="s">
        <v>125</v>
      </c>
      <c r="C54" s="8" t="s">
        <v>120</v>
      </c>
      <c r="D54" s="9" t="str">
        <f t="shared" ca="1" si="5"/>
        <v>完了</v>
      </c>
      <c r="E54" s="3">
        <v>42845</v>
      </c>
      <c r="F54" s="3">
        <v>42845</v>
      </c>
      <c r="G54" s="12">
        <v>3</v>
      </c>
      <c r="H54" s="12">
        <v>3</v>
      </c>
      <c r="I54" s="9">
        <f t="shared" ca="1" si="4"/>
        <v>0</v>
      </c>
      <c r="J54" s="15">
        <v>3</v>
      </c>
      <c r="K54" s="15">
        <v>3</v>
      </c>
      <c r="L54" s="15">
        <v>3</v>
      </c>
      <c r="M54" s="15">
        <v>3</v>
      </c>
      <c r="N54" s="15"/>
      <c r="O54" s="15">
        <v>0</v>
      </c>
      <c r="P54" s="15"/>
      <c r="Q54" s="15"/>
      <c r="R54" s="15"/>
      <c r="S54" s="15"/>
      <c r="T54" s="15"/>
      <c r="U54" s="15"/>
      <c r="V54" s="15"/>
      <c r="W54" s="15"/>
      <c r="X54" s="15"/>
    </row>
    <row r="55" spans="1:24" ht="14.25">
      <c r="A55" s="68">
        <v>51</v>
      </c>
      <c r="B55" s="25" t="s">
        <v>126</v>
      </c>
      <c r="C55" s="8" t="s">
        <v>120</v>
      </c>
      <c r="D55" s="9" t="str">
        <f t="shared" ca="1" si="5"/>
        <v>完了</v>
      </c>
      <c r="E55" s="3">
        <v>42844</v>
      </c>
      <c r="F55" s="3">
        <v>42844</v>
      </c>
      <c r="G55" s="12">
        <v>3</v>
      </c>
      <c r="H55" s="12">
        <v>3</v>
      </c>
      <c r="I55" s="9">
        <f t="shared" ca="1" si="4"/>
        <v>0</v>
      </c>
      <c r="J55" s="15">
        <v>3</v>
      </c>
      <c r="K55" s="15">
        <v>3</v>
      </c>
      <c r="L55" s="15">
        <v>3</v>
      </c>
      <c r="M55" s="15">
        <v>3</v>
      </c>
      <c r="N55" s="15"/>
      <c r="O55" s="15"/>
      <c r="P55" s="15"/>
      <c r="Q55" s="15">
        <v>0</v>
      </c>
      <c r="R55" s="15"/>
      <c r="S55" s="15"/>
      <c r="T55" s="15"/>
      <c r="U55" s="15"/>
      <c r="V55" s="15"/>
      <c r="W55" s="15"/>
      <c r="X55" s="15"/>
    </row>
    <row r="56" spans="1:24" ht="14.25">
      <c r="A56" s="68">
        <v>52</v>
      </c>
      <c r="B56" s="25" t="s">
        <v>127</v>
      </c>
      <c r="C56" s="8" t="s">
        <v>120</v>
      </c>
      <c r="D56" s="9" t="str">
        <f t="shared" ca="1" si="5"/>
        <v>完了</v>
      </c>
      <c r="E56" s="3">
        <v>42845</v>
      </c>
      <c r="F56" s="3">
        <v>42845</v>
      </c>
      <c r="G56" s="12">
        <v>3</v>
      </c>
      <c r="H56" s="12">
        <v>3</v>
      </c>
      <c r="I56" s="9">
        <f t="shared" ca="1" si="4"/>
        <v>0</v>
      </c>
      <c r="J56" s="15">
        <v>3</v>
      </c>
      <c r="K56" s="15">
        <v>3</v>
      </c>
      <c r="L56" s="15">
        <v>3</v>
      </c>
      <c r="M56" s="15">
        <v>3</v>
      </c>
      <c r="N56" s="15"/>
      <c r="O56" s="15"/>
      <c r="P56" s="15">
        <v>0</v>
      </c>
      <c r="Q56" s="15"/>
      <c r="R56" s="15"/>
      <c r="S56" s="15"/>
      <c r="T56" s="15"/>
      <c r="U56" s="15"/>
      <c r="V56" s="15"/>
      <c r="W56" s="15"/>
      <c r="X56" s="15"/>
    </row>
    <row r="57" spans="1:24" ht="14.25">
      <c r="A57" s="68">
        <v>53</v>
      </c>
      <c r="B57" s="25" t="s">
        <v>128</v>
      </c>
      <c r="C57" s="8" t="s">
        <v>120</v>
      </c>
      <c r="D57" s="9" t="str">
        <f t="shared" ca="1" si="5"/>
        <v>完了</v>
      </c>
      <c r="E57" s="3">
        <v>42845</v>
      </c>
      <c r="F57" s="3">
        <v>42845</v>
      </c>
      <c r="G57" s="12">
        <v>3</v>
      </c>
      <c r="H57" s="12">
        <v>3</v>
      </c>
      <c r="I57" s="9">
        <f t="shared" ca="1" si="4"/>
        <v>0</v>
      </c>
      <c r="J57" s="15">
        <v>3</v>
      </c>
      <c r="K57" s="15">
        <v>3</v>
      </c>
      <c r="L57" s="15">
        <v>3</v>
      </c>
      <c r="M57" s="15">
        <v>3</v>
      </c>
      <c r="N57" s="15"/>
      <c r="O57" s="15"/>
      <c r="P57" s="15"/>
      <c r="Q57" s="15">
        <v>0</v>
      </c>
      <c r="R57" s="15"/>
      <c r="S57" s="15"/>
      <c r="T57" s="15"/>
      <c r="U57" s="15"/>
      <c r="V57" s="15"/>
      <c r="W57" s="15"/>
      <c r="X57" s="15"/>
    </row>
    <row r="58" spans="1:24" ht="14.25">
      <c r="A58" s="68">
        <v>54</v>
      </c>
      <c r="B58" s="25" t="s">
        <v>129</v>
      </c>
      <c r="C58" s="8" t="s">
        <v>120</v>
      </c>
      <c r="D58" s="9" t="str">
        <f t="shared" ca="1" si="5"/>
        <v>完了</v>
      </c>
      <c r="E58" s="3">
        <v>42845</v>
      </c>
      <c r="F58" s="3">
        <v>42845</v>
      </c>
      <c r="G58" s="12">
        <v>3</v>
      </c>
      <c r="H58" s="12">
        <v>3</v>
      </c>
      <c r="I58" s="9">
        <f t="shared" ca="1" si="4"/>
        <v>0</v>
      </c>
      <c r="J58" s="15">
        <v>3</v>
      </c>
      <c r="K58" s="15">
        <v>3</v>
      </c>
      <c r="L58" s="15">
        <v>3</v>
      </c>
      <c r="M58" s="15">
        <v>3</v>
      </c>
      <c r="N58" s="15"/>
      <c r="O58" s="15"/>
      <c r="P58" s="15"/>
      <c r="Q58" s="15">
        <v>0</v>
      </c>
      <c r="R58" s="15"/>
      <c r="S58" s="15"/>
      <c r="T58" s="15"/>
      <c r="U58" s="15"/>
      <c r="V58" s="15"/>
      <c r="W58" s="15"/>
      <c r="X58" s="15"/>
    </row>
    <row r="59" spans="1:24" ht="14.25">
      <c r="A59" s="68">
        <v>55</v>
      </c>
      <c r="B59" s="25" t="s">
        <v>130</v>
      </c>
      <c r="C59" s="8" t="s">
        <v>120</v>
      </c>
      <c r="D59" s="9" t="str">
        <f t="shared" ca="1" si="5"/>
        <v>完了</v>
      </c>
      <c r="E59" s="3">
        <v>42846</v>
      </c>
      <c r="F59" s="3">
        <v>42846</v>
      </c>
      <c r="G59" s="12">
        <v>1</v>
      </c>
      <c r="H59" s="12">
        <v>1</v>
      </c>
      <c r="I59" s="9">
        <f t="shared" ca="1" si="4"/>
        <v>0</v>
      </c>
      <c r="J59" s="15">
        <v>1</v>
      </c>
      <c r="K59" s="15">
        <v>1</v>
      </c>
      <c r="L59" s="15">
        <v>1</v>
      </c>
      <c r="M59" s="15">
        <v>1</v>
      </c>
      <c r="N59" s="15"/>
      <c r="O59" s="15"/>
      <c r="P59" s="15"/>
      <c r="Q59" s="15">
        <v>0</v>
      </c>
      <c r="R59" s="15"/>
      <c r="S59" s="15"/>
      <c r="T59" s="15"/>
      <c r="U59" s="15"/>
      <c r="V59" s="15"/>
      <c r="W59" s="15"/>
      <c r="X59" s="15"/>
    </row>
    <row r="60" spans="1:24" ht="14.25">
      <c r="A60" s="68">
        <v>56</v>
      </c>
      <c r="B60" s="25" t="s">
        <v>131</v>
      </c>
      <c r="C60" s="8" t="s">
        <v>120</v>
      </c>
      <c r="D60" s="9" t="str">
        <f t="shared" ca="1" si="5"/>
        <v>完了</v>
      </c>
      <c r="E60" s="3">
        <v>42846</v>
      </c>
      <c r="F60" s="3">
        <v>42846</v>
      </c>
      <c r="G60" s="12">
        <v>3</v>
      </c>
      <c r="H60" s="12">
        <v>3</v>
      </c>
      <c r="I60" s="9">
        <f t="shared" ca="1" si="4"/>
        <v>0</v>
      </c>
      <c r="J60" s="15">
        <v>3</v>
      </c>
      <c r="K60" s="15">
        <v>3</v>
      </c>
      <c r="L60" s="15">
        <v>3</v>
      </c>
      <c r="M60" s="15">
        <v>3</v>
      </c>
      <c r="N60" s="15"/>
      <c r="O60" s="15"/>
      <c r="P60" s="15"/>
      <c r="Q60" s="15">
        <v>0</v>
      </c>
      <c r="R60" s="15"/>
      <c r="S60" s="15"/>
      <c r="T60" s="15"/>
      <c r="U60" s="15"/>
      <c r="V60" s="15"/>
      <c r="W60" s="15"/>
      <c r="X60" s="15"/>
    </row>
    <row r="61" spans="1:24" ht="14.25">
      <c r="A61" s="68">
        <v>57</v>
      </c>
      <c r="B61" s="25" t="s">
        <v>132</v>
      </c>
      <c r="C61" s="8" t="s">
        <v>120</v>
      </c>
      <c r="D61" s="9" t="str">
        <f t="shared" ca="1" si="5"/>
        <v>完了</v>
      </c>
      <c r="E61" s="3">
        <v>42847</v>
      </c>
      <c r="F61" s="3">
        <v>42847</v>
      </c>
      <c r="G61" s="12">
        <v>3</v>
      </c>
      <c r="H61" s="12">
        <v>3</v>
      </c>
      <c r="I61" s="9">
        <f t="shared" ca="1" si="4"/>
        <v>0</v>
      </c>
      <c r="J61" s="15">
        <v>3</v>
      </c>
      <c r="K61" s="15">
        <v>3</v>
      </c>
      <c r="L61" s="15">
        <v>3</v>
      </c>
      <c r="M61" s="15">
        <v>3</v>
      </c>
      <c r="N61" s="15"/>
      <c r="O61" s="15"/>
      <c r="P61" s="15"/>
      <c r="Q61" s="15"/>
      <c r="R61" s="15">
        <v>0</v>
      </c>
      <c r="S61" s="15"/>
      <c r="T61" s="15"/>
      <c r="U61" s="15"/>
      <c r="V61" s="15"/>
      <c r="W61" s="15"/>
      <c r="X61" s="15"/>
    </row>
    <row r="62" spans="1:24">
      <c r="A62" s="68">
        <v>58</v>
      </c>
      <c r="B62" s="27"/>
      <c r="C62" s="28" t="s">
        <v>120</v>
      </c>
      <c r="D62" s="9" t="str">
        <f t="shared" si="5"/>
        <v/>
      </c>
      <c r="E62" s="29">
        <v>42848</v>
      </c>
      <c r="F62" s="29">
        <v>42848</v>
      </c>
      <c r="G62" s="12">
        <v>3</v>
      </c>
      <c r="H62" s="12">
        <v>3</v>
      </c>
      <c r="I62" s="9">
        <f t="shared" ca="1" si="4"/>
        <v>0</v>
      </c>
      <c r="J62" s="15">
        <v>3</v>
      </c>
      <c r="K62" s="15">
        <v>3</v>
      </c>
      <c r="L62" s="15">
        <v>3</v>
      </c>
      <c r="M62" s="15">
        <v>3</v>
      </c>
      <c r="N62" s="15">
        <v>0</v>
      </c>
      <c r="O62" s="15"/>
      <c r="P62" s="15"/>
      <c r="Q62" s="15">
        <v>0</v>
      </c>
      <c r="R62" s="15"/>
      <c r="S62" s="15"/>
      <c r="T62" s="15"/>
      <c r="U62" s="15"/>
      <c r="V62" s="15"/>
      <c r="W62" s="15"/>
      <c r="X62" s="15"/>
    </row>
    <row r="63" spans="1:24">
      <c r="A63" s="68">
        <v>59</v>
      </c>
      <c r="B63" s="11"/>
      <c r="C63" s="12"/>
      <c r="D63" s="9" t="str">
        <f t="shared" si="5"/>
        <v/>
      </c>
      <c r="E63" s="36"/>
      <c r="F63" s="3"/>
      <c r="G63" s="30"/>
      <c r="H63" s="30"/>
      <c r="I63" s="9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 spans="1:24">
      <c r="A64" s="68">
        <v>60</v>
      </c>
      <c r="B64" s="11"/>
      <c r="C64" s="12"/>
      <c r="D64" s="34" t="str">
        <f t="shared" ref="D64:D104" si="6">IF(ISBLANK($B64),"",IF(ISBLANK($F65),"未着手",IF($I64=0,"完了","作業中")))</f>
        <v/>
      </c>
      <c r="E64" s="35"/>
      <c r="G64" s="12"/>
      <c r="H64" s="12"/>
      <c r="I64" s="9" t="str">
        <f t="shared" ca="1" si="4"/>
        <v/>
      </c>
      <c r="J64" s="32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>
      <c r="A65" s="68">
        <v>61</v>
      </c>
      <c r="B65" s="11"/>
      <c r="C65" s="12"/>
      <c r="D65" s="9" t="str">
        <f t="shared" si="6"/>
        <v/>
      </c>
      <c r="E65" s="3"/>
      <c r="F65" s="3"/>
      <c r="G65" s="12"/>
      <c r="H65" s="12"/>
      <c r="I65" s="9" t="str">
        <f t="shared" ca="1" si="4"/>
        <v/>
      </c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>
      <c r="A66" s="68">
        <v>62</v>
      </c>
      <c r="B66" s="11"/>
      <c r="C66" s="12"/>
      <c r="D66" s="9" t="str">
        <f t="shared" si="6"/>
        <v/>
      </c>
      <c r="E66" s="3"/>
      <c r="F66" s="3"/>
      <c r="G66" s="12"/>
      <c r="H66" s="12"/>
      <c r="I66" s="9" t="str">
        <f t="shared" ca="1" si="4"/>
        <v/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spans="1:24">
      <c r="A67" s="68">
        <v>63</v>
      </c>
      <c r="B67" s="11"/>
      <c r="C67" s="12"/>
      <c r="D67" s="9" t="str">
        <f t="shared" si="6"/>
        <v/>
      </c>
      <c r="E67" s="3"/>
      <c r="F67" s="3"/>
      <c r="G67" s="12"/>
      <c r="H67" s="12"/>
      <c r="I67" s="9" t="str">
        <f t="shared" ca="1" si="4"/>
        <v/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>
      <c r="A68" s="68">
        <v>64</v>
      </c>
      <c r="B68" s="11"/>
      <c r="C68" s="12"/>
      <c r="D68" s="9" t="str">
        <f t="shared" si="6"/>
        <v/>
      </c>
      <c r="E68" s="3"/>
      <c r="F68" s="3"/>
      <c r="G68" s="12"/>
      <c r="H68" s="12"/>
      <c r="I68" s="9" t="str">
        <f t="shared" ca="1" si="4"/>
        <v/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>
      <c r="A69" s="68">
        <v>65</v>
      </c>
      <c r="B69" s="11"/>
      <c r="C69" s="12"/>
      <c r="D69" s="9" t="str">
        <f t="shared" si="6"/>
        <v/>
      </c>
      <c r="E69" s="3"/>
      <c r="F69" s="3"/>
      <c r="G69" s="12"/>
      <c r="H69" s="12"/>
      <c r="I69" s="9" t="str">
        <f t="shared" ref="I69:I100" ca="1" si="7">IF(ISBLANK(J69)=FALSE,OFFSET(I69,0,COUNTA(J69:X69)),"")</f>
        <v/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>
      <c r="A70" s="68">
        <v>66</v>
      </c>
      <c r="B70" s="11"/>
      <c r="C70" s="12"/>
      <c r="D70" s="9" t="str">
        <f t="shared" si="6"/>
        <v/>
      </c>
      <c r="E70" s="3"/>
      <c r="F70" s="3"/>
      <c r="G70" s="12"/>
      <c r="H70" s="12"/>
      <c r="I70" s="9" t="str">
        <f t="shared" ca="1" si="7"/>
        <v/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>
      <c r="A71" s="68">
        <v>67</v>
      </c>
      <c r="B71" s="11"/>
      <c r="C71" s="12"/>
      <c r="D71" s="9" t="str">
        <f t="shared" si="6"/>
        <v/>
      </c>
      <c r="E71" s="3"/>
      <c r="F71" s="3"/>
      <c r="G71" s="12"/>
      <c r="H71" s="12"/>
      <c r="I71" s="9" t="str">
        <f t="shared" ca="1" si="7"/>
        <v/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>
      <c r="A72" s="68">
        <v>68</v>
      </c>
      <c r="B72" s="11"/>
      <c r="C72" s="12"/>
      <c r="D72" s="9" t="str">
        <f t="shared" si="6"/>
        <v/>
      </c>
      <c r="E72" s="3"/>
      <c r="F72" s="3"/>
      <c r="G72" s="12"/>
      <c r="H72" s="12"/>
      <c r="I72" s="9" t="str">
        <f t="shared" ca="1" si="7"/>
        <v/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spans="1:24">
      <c r="A73" s="68">
        <v>69</v>
      </c>
      <c r="B73" s="11"/>
      <c r="C73" s="12"/>
      <c r="D73" s="9" t="str">
        <f t="shared" si="6"/>
        <v/>
      </c>
      <c r="E73" s="3"/>
      <c r="F73" s="3"/>
      <c r="G73" s="12"/>
      <c r="H73" s="12"/>
      <c r="I73" s="9" t="str">
        <f t="shared" ca="1" si="7"/>
        <v/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spans="1:24">
      <c r="A74" s="68">
        <v>70</v>
      </c>
      <c r="B74" s="11"/>
      <c r="C74" s="12"/>
      <c r="D74" s="9" t="str">
        <f t="shared" si="6"/>
        <v/>
      </c>
      <c r="E74" s="3"/>
      <c r="F74" s="3"/>
      <c r="G74" s="12"/>
      <c r="H74" s="12"/>
      <c r="I74" s="9" t="str">
        <f t="shared" ca="1" si="7"/>
        <v/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>
      <c r="A75" s="68">
        <v>71</v>
      </c>
      <c r="B75" s="11"/>
      <c r="C75" s="12"/>
      <c r="D75" s="9" t="str">
        <f t="shared" si="6"/>
        <v/>
      </c>
      <c r="E75" s="3"/>
      <c r="F75" s="3"/>
      <c r="G75" s="12"/>
      <c r="H75" s="12"/>
      <c r="I75" s="9" t="str">
        <f t="shared" ca="1" si="7"/>
        <v/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>
      <c r="A76" s="68">
        <v>72</v>
      </c>
      <c r="B76" s="11"/>
      <c r="C76" s="12"/>
      <c r="D76" s="9" t="str">
        <f t="shared" si="6"/>
        <v/>
      </c>
      <c r="E76" s="3"/>
      <c r="F76" s="3"/>
      <c r="G76" s="12"/>
      <c r="H76" s="12"/>
      <c r="I76" s="9" t="str">
        <f t="shared" ca="1" si="7"/>
        <v/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>
      <c r="A77" s="68">
        <v>73</v>
      </c>
      <c r="B77" s="11"/>
      <c r="C77" s="12"/>
      <c r="D77" s="9" t="str">
        <f t="shared" si="6"/>
        <v/>
      </c>
      <c r="E77" s="3"/>
      <c r="F77" s="3"/>
      <c r="G77" s="12"/>
      <c r="H77" s="12"/>
      <c r="I77" s="9" t="str">
        <f t="shared" ca="1" si="7"/>
        <v/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>
      <c r="A78" s="68">
        <v>74</v>
      </c>
      <c r="B78" s="11"/>
      <c r="C78" s="12"/>
      <c r="D78" s="9" t="str">
        <f t="shared" si="6"/>
        <v/>
      </c>
      <c r="E78" s="3"/>
      <c r="F78" s="3"/>
      <c r="G78" s="12"/>
      <c r="H78" s="12"/>
      <c r="I78" s="9" t="str">
        <f t="shared" ca="1" si="7"/>
        <v/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>
      <c r="A79" s="68">
        <v>75</v>
      </c>
      <c r="B79" s="11"/>
      <c r="C79" s="12"/>
      <c r="D79" s="9" t="str">
        <f t="shared" si="6"/>
        <v/>
      </c>
      <c r="E79" s="3"/>
      <c r="F79" s="3"/>
      <c r="G79" s="12"/>
      <c r="H79" s="12"/>
      <c r="I79" s="9" t="str">
        <f t="shared" ca="1" si="7"/>
        <v/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24">
      <c r="A80" s="68">
        <v>76</v>
      </c>
      <c r="B80" s="11"/>
      <c r="C80" s="12"/>
      <c r="D80" s="9" t="str">
        <f t="shared" si="6"/>
        <v/>
      </c>
      <c r="E80" s="3"/>
      <c r="F80" s="3"/>
      <c r="G80" s="12"/>
      <c r="H80" s="12"/>
      <c r="I80" s="9" t="str">
        <f t="shared" ca="1" si="7"/>
        <v/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>
      <c r="A81" s="68">
        <v>77</v>
      </c>
      <c r="B81" s="11"/>
      <c r="C81" s="12"/>
      <c r="D81" s="9" t="str">
        <f t="shared" si="6"/>
        <v/>
      </c>
      <c r="E81" s="3"/>
      <c r="F81" s="3"/>
      <c r="G81" s="12"/>
      <c r="H81" s="12"/>
      <c r="I81" s="9" t="str">
        <f t="shared" ca="1" si="7"/>
        <v/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>
      <c r="A82" s="68">
        <v>78</v>
      </c>
      <c r="B82" s="11"/>
      <c r="C82" s="12"/>
      <c r="D82" s="9" t="str">
        <f t="shared" si="6"/>
        <v/>
      </c>
      <c r="E82" s="3"/>
      <c r="F82" s="3"/>
      <c r="G82" s="12"/>
      <c r="H82" s="12"/>
      <c r="I82" s="9" t="str">
        <f t="shared" ca="1" si="7"/>
        <v/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>
      <c r="A83" s="68">
        <v>79</v>
      </c>
      <c r="B83" s="11"/>
      <c r="C83" s="12"/>
      <c r="D83" s="9" t="str">
        <f t="shared" si="6"/>
        <v/>
      </c>
      <c r="E83" s="3"/>
      <c r="F83" s="3"/>
      <c r="G83" s="12"/>
      <c r="H83" s="12"/>
      <c r="I83" s="9" t="str">
        <f t="shared" ca="1" si="7"/>
        <v/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>
      <c r="A84" s="68">
        <v>80</v>
      </c>
      <c r="B84" s="11"/>
      <c r="C84" s="12"/>
      <c r="D84" s="9" t="str">
        <f t="shared" si="6"/>
        <v/>
      </c>
      <c r="E84" s="3"/>
      <c r="F84" s="3"/>
      <c r="G84" s="12"/>
      <c r="H84" s="12"/>
      <c r="I84" s="9" t="str">
        <f t="shared" ca="1" si="7"/>
        <v/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>
      <c r="A85" s="68">
        <v>81</v>
      </c>
      <c r="B85" s="11"/>
      <c r="C85" s="12"/>
      <c r="D85" s="9" t="str">
        <f t="shared" si="6"/>
        <v/>
      </c>
      <c r="E85" s="3"/>
      <c r="F85" s="3"/>
      <c r="G85" s="12"/>
      <c r="H85" s="12"/>
      <c r="I85" s="9" t="str">
        <f t="shared" ca="1" si="7"/>
        <v/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>
      <c r="A86" s="68">
        <v>82</v>
      </c>
      <c r="B86" s="11"/>
      <c r="C86" s="12"/>
      <c r="D86" s="9" t="str">
        <f t="shared" si="6"/>
        <v/>
      </c>
      <c r="E86" s="3"/>
      <c r="F86" s="3"/>
      <c r="G86" s="12"/>
      <c r="H86" s="12"/>
      <c r="I86" s="9" t="str">
        <f t="shared" ca="1" si="7"/>
        <v/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>
      <c r="A87" s="68">
        <v>83</v>
      </c>
      <c r="B87" s="11"/>
      <c r="C87" s="12"/>
      <c r="D87" s="9" t="str">
        <f t="shared" si="6"/>
        <v/>
      </c>
      <c r="E87" s="3"/>
      <c r="F87" s="3"/>
      <c r="G87" s="12"/>
      <c r="H87" s="12"/>
      <c r="I87" s="9" t="str">
        <f t="shared" ca="1" si="7"/>
        <v/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>
      <c r="A88" s="68">
        <v>84</v>
      </c>
      <c r="B88" s="11"/>
      <c r="C88" s="12"/>
      <c r="D88" s="9" t="str">
        <f t="shared" si="6"/>
        <v/>
      </c>
      <c r="E88" s="3"/>
      <c r="F88" s="3"/>
      <c r="G88" s="12"/>
      <c r="H88" s="12"/>
      <c r="I88" s="9" t="str">
        <f t="shared" ca="1" si="7"/>
        <v/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>
      <c r="A89" s="68">
        <v>85</v>
      </c>
      <c r="B89" s="11"/>
      <c r="C89" s="12"/>
      <c r="D89" s="9" t="str">
        <f t="shared" si="6"/>
        <v/>
      </c>
      <c r="E89" s="3"/>
      <c r="F89" s="3"/>
      <c r="G89" s="12"/>
      <c r="H89" s="12"/>
      <c r="I89" s="9" t="str">
        <f t="shared" ca="1" si="7"/>
        <v/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>
      <c r="A90" s="68">
        <v>86</v>
      </c>
      <c r="B90" s="11"/>
      <c r="C90" s="12"/>
      <c r="D90" s="9" t="str">
        <f t="shared" si="6"/>
        <v/>
      </c>
      <c r="E90" s="3"/>
      <c r="F90" s="3"/>
      <c r="G90" s="12"/>
      <c r="H90" s="12"/>
      <c r="I90" s="9" t="str">
        <f t="shared" ca="1" si="7"/>
        <v/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>
      <c r="A91" s="68">
        <v>87</v>
      </c>
      <c r="B91" s="11"/>
      <c r="C91" s="12"/>
      <c r="D91" s="9" t="str">
        <f t="shared" si="6"/>
        <v/>
      </c>
      <c r="E91" s="3"/>
      <c r="F91" s="3"/>
      <c r="G91" s="12"/>
      <c r="H91" s="12"/>
      <c r="I91" s="9" t="str">
        <f t="shared" ca="1" si="7"/>
        <v/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>
      <c r="A92" s="68">
        <v>88</v>
      </c>
      <c r="B92" s="11"/>
      <c r="C92" s="12"/>
      <c r="D92" s="9" t="str">
        <f t="shared" si="6"/>
        <v/>
      </c>
      <c r="E92" s="3"/>
      <c r="F92" s="3"/>
      <c r="G92" s="12"/>
      <c r="H92" s="12"/>
      <c r="I92" s="9" t="str">
        <f t="shared" ca="1" si="7"/>
        <v/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>
      <c r="A93" s="68">
        <v>89</v>
      </c>
      <c r="B93" s="11"/>
      <c r="C93" s="12"/>
      <c r="D93" s="9" t="str">
        <f t="shared" si="6"/>
        <v/>
      </c>
      <c r="E93" s="3"/>
      <c r="F93" s="3"/>
      <c r="G93" s="12"/>
      <c r="H93" s="12"/>
      <c r="I93" s="9" t="str">
        <f t="shared" ca="1" si="7"/>
        <v/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>
      <c r="A94" s="68">
        <v>90</v>
      </c>
      <c r="B94" s="11"/>
      <c r="C94" s="12"/>
      <c r="D94" s="9" t="str">
        <f t="shared" si="6"/>
        <v/>
      </c>
      <c r="E94" s="3"/>
      <c r="F94" s="3"/>
      <c r="G94" s="12"/>
      <c r="H94" s="12"/>
      <c r="I94" s="9" t="str">
        <f t="shared" ca="1" si="7"/>
        <v/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>
      <c r="A95" s="68">
        <v>91</v>
      </c>
      <c r="B95" s="11"/>
      <c r="C95" s="12"/>
      <c r="D95" s="9" t="str">
        <f t="shared" si="6"/>
        <v/>
      </c>
      <c r="E95" s="3"/>
      <c r="F95" s="3"/>
      <c r="G95" s="12"/>
      <c r="H95" s="12"/>
      <c r="I95" s="9" t="str">
        <f t="shared" ca="1" si="7"/>
        <v/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>
      <c r="A96" s="68">
        <v>92</v>
      </c>
      <c r="B96" s="11"/>
      <c r="C96" s="12"/>
      <c r="D96" s="9" t="str">
        <f t="shared" si="6"/>
        <v/>
      </c>
      <c r="E96" s="3"/>
      <c r="F96" s="3"/>
      <c r="G96" s="12"/>
      <c r="H96" s="12"/>
      <c r="I96" s="9" t="str">
        <f t="shared" ca="1" si="7"/>
        <v/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31">
      <c r="A97" s="68">
        <v>93</v>
      </c>
      <c r="B97" s="11"/>
      <c r="C97" s="12"/>
      <c r="D97" s="9" t="str">
        <f t="shared" si="6"/>
        <v/>
      </c>
      <c r="E97" s="3"/>
      <c r="F97" s="3"/>
      <c r="G97" s="12"/>
      <c r="H97" s="12"/>
      <c r="I97" s="9" t="str">
        <f t="shared" ca="1" si="7"/>
        <v/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31">
      <c r="A98" s="68">
        <v>94</v>
      </c>
      <c r="B98" s="11"/>
      <c r="C98" s="12"/>
      <c r="D98" s="9" t="str">
        <f t="shared" si="6"/>
        <v/>
      </c>
      <c r="E98" s="3"/>
      <c r="F98" s="3"/>
      <c r="G98" s="12"/>
      <c r="H98" s="12"/>
      <c r="I98" s="9" t="str">
        <f t="shared" ca="1" si="7"/>
        <v/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31">
      <c r="A99" s="68">
        <v>95</v>
      </c>
      <c r="B99" s="11"/>
      <c r="C99" s="12"/>
      <c r="D99" s="9" t="str">
        <f t="shared" si="6"/>
        <v/>
      </c>
      <c r="E99" s="3"/>
      <c r="F99" s="3"/>
      <c r="G99" s="12"/>
      <c r="H99" s="12"/>
      <c r="I99" s="9" t="str">
        <f t="shared" ca="1" si="7"/>
        <v/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31">
      <c r="A100" s="68">
        <v>96</v>
      </c>
      <c r="B100" s="11"/>
      <c r="C100" s="12"/>
      <c r="D100" s="9" t="str">
        <f t="shared" si="6"/>
        <v/>
      </c>
      <c r="E100" s="3"/>
      <c r="F100" s="3"/>
      <c r="G100" s="12"/>
      <c r="H100" s="12"/>
      <c r="I100" s="9" t="str">
        <f t="shared" ca="1" si="7"/>
        <v/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31">
      <c r="A101" s="68">
        <v>97</v>
      </c>
      <c r="B101" s="11"/>
      <c r="C101" s="12"/>
      <c r="D101" s="9" t="str">
        <f t="shared" si="6"/>
        <v/>
      </c>
      <c r="E101" s="3"/>
      <c r="F101" s="3"/>
      <c r="G101" s="12"/>
      <c r="H101" s="12"/>
      <c r="I101" s="9" t="str">
        <f ca="1">IF(ISBLANK(J101)=FALSE,OFFSET(I101,0,COUNTA(J101:X101)),"")</f>
        <v/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31">
      <c r="A102" s="68">
        <v>98</v>
      </c>
      <c r="B102" s="11"/>
      <c r="C102" s="12"/>
      <c r="D102" s="9" t="str">
        <f t="shared" si="6"/>
        <v/>
      </c>
      <c r="E102" s="3"/>
      <c r="F102" s="3"/>
      <c r="G102" s="12"/>
      <c r="H102" s="12"/>
      <c r="I102" s="9" t="str">
        <f ca="1">IF(ISBLANK(J102)=FALSE,OFFSET(I102,0,COUNTA(J102:X102)),"")</f>
        <v/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31">
      <c r="A103" s="68">
        <v>99</v>
      </c>
      <c r="B103" s="11"/>
      <c r="C103" s="12"/>
      <c r="D103" s="9" t="str">
        <f t="shared" si="6"/>
        <v/>
      </c>
      <c r="E103" s="3"/>
      <c r="F103" s="3"/>
      <c r="G103" s="12"/>
      <c r="H103" s="12"/>
      <c r="I103" s="9" t="str">
        <f ca="1">IF(ISBLANK(J103)=FALSE,OFFSET(I103,0,COUNTA(J103:X103)),"")</f>
        <v/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31">
      <c r="A104" s="68">
        <v>100</v>
      </c>
      <c r="B104" s="11"/>
      <c r="C104" s="12"/>
      <c r="D104" s="9" t="str">
        <f t="shared" si="6"/>
        <v/>
      </c>
      <c r="E104" s="3"/>
      <c r="F104" s="3"/>
      <c r="G104" s="12"/>
      <c r="H104" s="12"/>
      <c r="I104" s="9" t="str">
        <f ca="1">IF(ISBLANK(J104)=FALSE,OFFSET(I104,0,COUNTA(J104:X104)),"")</f>
        <v/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31" ht="10.5" customHeight="1">
      <c r="F105" s="3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31"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Z106" s="67" t="s">
        <v>133</v>
      </c>
      <c r="AA106" s="67" t="s">
        <v>54</v>
      </c>
      <c r="AB106" s="67" t="s">
        <v>56</v>
      </c>
      <c r="AC106" s="67" t="s">
        <v>55</v>
      </c>
      <c r="AD106" s="67" t="s">
        <v>134</v>
      </c>
      <c r="AE106" s="67" t="s">
        <v>135</v>
      </c>
    </row>
    <row r="107" spans="1:31"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Z107" s="8" t="s">
        <v>136</v>
      </c>
      <c r="AA107" s="66">
        <f t="shared" ref="AA107:AA116" si="8">SUMIF($C$5:$C$104,Z107,$G$5:$G$104)</f>
        <v>36</v>
      </c>
      <c r="AB107" s="66">
        <f t="shared" ref="AB107:AB116" ca="1" si="9">SUMIF($C$5:$C$104,Z107,$I$5:$I$104)</f>
        <v>2</v>
      </c>
      <c r="AC107" s="66">
        <f t="shared" ref="AC107:AC116" si="10">SUMIF($C$5:$C$104,Z107,$H$5:$H$104)</f>
        <v>36</v>
      </c>
      <c r="AD107" s="10">
        <f t="shared" ref="AD107:AD116" si="11">COUNTA($J$2:$X$2)*6-COUNTA($J$4:$X$4)*6</f>
        <v>0</v>
      </c>
      <c r="AE107" s="66">
        <f ca="1">IF(AD107&gt;AB107,0,AB107-AD107)</f>
        <v>2</v>
      </c>
    </row>
    <row r="108" spans="1:31"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Z108" s="8" t="s">
        <v>137</v>
      </c>
      <c r="AA108" s="66">
        <f t="shared" si="8"/>
        <v>1</v>
      </c>
      <c r="AB108" s="66">
        <f t="shared" ca="1" si="9"/>
        <v>0</v>
      </c>
      <c r="AC108" s="66">
        <f t="shared" si="10"/>
        <v>1</v>
      </c>
      <c r="AD108" s="10">
        <f t="shared" si="11"/>
        <v>0</v>
      </c>
      <c r="AE108" s="66">
        <f t="shared" ref="AE108:AE116" ca="1" si="12">IF(AD108&gt;AB108,0,AB108-AD108)</f>
        <v>0</v>
      </c>
    </row>
    <row r="109" spans="1:31"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Z109" s="8" t="s">
        <v>138</v>
      </c>
      <c r="AA109" s="66">
        <f t="shared" si="8"/>
        <v>29</v>
      </c>
      <c r="AB109" s="66">
        <f t="shared" ca="1" si="9"/>
        <v>1</v>
      </c>
      <c r="AC109" s="66">
        <f t="shared" si="10"/>
        <v>24</v>
      </c>
      <c r="AD109" s="10">
        <f t="shared" si="11"/>
        <v>0</v>
      </c>
      <c r="AE109" s="66">
        <f t="shared" ca="1" si="12"/>
        <v>1</v>
      </c>
    </row>
    <row r="110" spans="1:31"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Z110" s="8" t="s">
        <v>139</v>
      </c>
      <c r="AA110" s="66">
        <f t="shared" si="8"/>
        <v>17</v>
      </c>
      <c r="AB110" s="66">
        <f t="shared" ca="1" si="9"/>
        <v>4</v>
      </c>
      <c r="AC110" s="66">
        <f t="shared" si="10"/>
        <v>17</v>
      </c>
      <c r="AD110" s="10">
        <f t="shared" si="11"/>
        <v>0</v>
      </c>
      <c r="AE110" s="66">
        <f t="shared" ca="1" si="12"/>
        <v>4</v>
      </c>
    </row>
    <row r="111" spans="1:31"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Z111" s="8" t="s">
        <v>140</v>
      </c>
      <c r="AA111" s="66">
        <f t="shared" si="8"/>
        <v>5</v>
      </c>
      <c r="AB111" s="66">
        <f t="shared" ca="1" si="9"/>
        <v>0</v>
      </c>
      <c r="AC111" s="66">
        <f t="shared" si="10"/>
        <v>5</v>
      </c>
      <c r="AD111" s="10">
        <f t="shared" si="11"/>
        <v>0</v>
      </c>
      <c r="AE111" s="66">
        <f t="shared" ca="1" si="12"/>
        <v>0</v>
      </c>
    </row>
    <row r="112" spans="1:31"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Z112" s="8"/>
      <c r="AA112" s="66">
        <f t="shared" si="8"/>
        <v>0</v>
      </c>
      <c r="AB112" s="66">
        <f t="shared" si="9"/>
        <v>0</v>
      </c>
      <c r="AC112" s="66">
        <f t="shared" si="10"/>
        <v>0</v>
      </c>
      <c r="AD112" s="10">
        <f t="shared" si="11"/>
        <v>0</v>
      </c>
      <c r="AE112" s="66">
        <f t="shared" si="12"/>
        <v>0</v>
      </c>
    </row>
    <row r="113" spans="10:31"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Z113" s="8"/>
      <c r="AA113" s="66">
        <f t="shared" si="8"/>
        <v>0</v>
      </c>
      <c r="AB113" s="66">
        <f t="shared" si="9"/>
        <v>0</v>
      </c>
      <c r="AC113" s="66">
        <f t="shared" si="10"/>
        <v>0</v>
      </c>
      <c r="AD113" s="10">
        <f t="shared" si="11"/>
        <v>0</v>
      </c>
      <c r="AE113" s="66">
        <f t="shared" si="12"/>
        <v>0</v>
      </c>
    </row>
    <row r="114" spans="10:31"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Z114" s="8"/>
      <c r="AA114" s="66">
        <f t="shared" si="8"/>
        <v>0</v>
      </c>
      <c r="AB114" s="66">
        <f t="shared" si="9"/>
        <v>0</v>
      </c>
      <c r="AC114" s="66">
        <f t="shared" si="10"/>
        <v>0</v>
      </c>
      <c r="AD114" s="10">
        <f t="shared" si="11"/>
        <v>0</v>
      </c>
      <c r="AE114" s="66">
        <f t="shared" si="12"/>
        <v>0</v>
      </c>
    </row>
    <row r="115" spans="10:31"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Z115" s="8"/>
      <c r="AA115" s="66">
        <f t="shared" si="8"/>
        <v>0</v>
      </c>
      <c r="AB115" s="66">
        <f t="shared" si="9"/>
        <v>0</v>
      </c>
      <c r="AC115" s="66">
        <f t="shared" si="10"/>
        <v>0</v>
      </c>
      <c r="AD115" s="10">
        <f t="shared" si="11"/>
        <v>0</v>
      </c>
      <c r="AE115" s="66">
        <f t="shared" si="12"/>
        <v>0</v>
      </c>
    </row>
    <row r="116" spans="10:31"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Z116" s="8"/>
      <c r="AA116" s="66">
        <f t="shared" si="8"/>
        <v>0</v>
      </c>
      <c r="AB116" s="66">
        <f t="shared" si="9"/>
        <v>0</v>
      </c>
      <c r="AC116" s="66">
        <f t="shared" si="10"/>
        <v>0</v>
      </c>
      <c r="AD116" s="10">
        <f t="shared" si="11"/>
        <v>0</v>
      </c>
      <c r="AE116" s="66">
        <f t="shared" si="12"/>
        <v>0</v>
      </c>
    </row>
    <row r="117" spans="10:31"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0:31"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0:31"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0:31"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0:31"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0:31"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0:31"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0:31"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0:31"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0:31"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0:31"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0:31"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0:24"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0:24"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0:24"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0:24"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0:24"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0:24"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0:24"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0:24"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0:24"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0:24"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0:24"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0:24"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0:24"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0:24"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0:24"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0:24"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0:24"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0:24"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0:24"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0:24"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0:24"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0:24"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0:24"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0:24"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0:24"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0:24"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0:24"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0:24"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0:24"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0:24"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0:24"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0:24"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0:24"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0:24"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0:24"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0:24"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0:24"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0:24"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0:24"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0:24"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0:24"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0:24"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0:24"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0:24"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0:24"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0:24"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0:24"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0:24"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0:24"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0:24"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0:24"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0:24"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0:24"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0:24"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0:24"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0:24"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0:24"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0:24"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0:24"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0:24"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</sheetData>
  <mergeCells count="10">
    <mergeCell ref="J1:X1"/>
    <mergeCell ref="A1:A4"/>
    <mergeCell ref="B1:B4"/>
    <mergeCell ref="I1:I4"/>
    <mergeCell ref="C1:C4"/>
    <mergeCell ref="D1:D4"/>
    <mergeCell ref="E1:E4"/>
    <mergeCell ref="F1:F4"/>
    <mergeCell ref="G1:G4"/>
    <mergeCell ref="H1:H4"/>
  </mergeCells>
  <phoneticPr fontId="4"/>
  <conditionalFormatting sqref="A5:A62 D5:D62 I5:I63 Y5:IV104 A63:D63 A64:E104 G64:I104">
    <cfRule type="expression" dxfId="262" priority="240" stopIfTrue="1">
      <formula>OR($D5="終了",$D5="完了")</formula>
    </cfRule>
    <cfRule type="expression" dxfId="261" priority="239" stopIfTrue="1">
      <formula>$D5="作業中"</formula>
    </cfRule>
    <cfRule type="expression" dxfId="260" priority="238" stopIfTrue="1">
      <formula>$D5="未着手"</formula>
    </cfRule>
  </conditionalFormatting>
  <conditionalFormatting sqref="B5">
    <cfRule type="expression" dxfId="259" priority="261" stopIfTrue="1">
      <formula>OR(#REF!="終了",#REF!="完了")</formula>
    </cfRule>
    <cfRule type="expression" dxfId="258" priority="260" stopIfTrue="1">
      <formula>#REF!="作業中"</formula>
    </cfRule>
    <cfRule type="expression" dxfId="257" priority="259" stopIfTrue="1">
      <formula>#REF!="未着手"</formula>
    </cfRule>
  </conditionalFormatting>
  <conditionalFormatting sqref="B6:B7 B10:B12 B18:B24">
    <cfRule type="expression" dxfId="256" priority="217" stopIfTrue="1">
      <formula>$F5="未着手"</formula>
    </cfRule>
    <cfRule type="expression" dxfId="255" priority="218" stopIfTrue="1">
      <formula>$F5="作業中"</formula>
    </cfRule>
    <cfRule type="expression" dxfId="254" priority="219" stopIfTrue="1">
      <formula>OR($F5="終了",$F5="完了")</formula>
    </cfRule>
  </conditionalFormatting>
  <conditionalFormatting sqref="B14:B17">
    <cfRule type="expression" dxfId="253" priority="226" stopIfTrue="1">
      <formula>$F12="未着手"</formula>
    </cfRule>
    <cfRule type="expression" dxfId="252" priority="228" stopIfTrue="1">
      <formula>OR($F12="終了",$F12="完了")</formula>
    </cfRule>
    <cfRule type="expression" dxfId="251" priority="227" stopIfTrue="1">
      <formula>$F12="作業中"</formula>
    </cfRule>
  </conditionalFormatting>
  <conditionalFormatting sqref="B25">
    <cfRule type="expression" dxfId="250" priority="234" stopIfTrue="1">
      <formula>OR(#REF!="終了",#REF!="完了")</formula>
    </cfRule>
    <cfRule type="expression" dxfId="249" priority="233" stopIfTrue="1">
      <formula>#REF!="作業中"</formula>
    </cfRule>
    <cfRule type="expression" dxfId="248" priority="232" stopIfTrue="1">
      <formula>#REF!="未着手"</formula>
    </cfRule>
  </conditionalFormatting>
  <conditionalFormatting sqref="B26:B27">
    <cfRule type="expression" dxfId="247" priority="294" stopIfTrue="1">
      <formula>OR($F13="終了",$F13="完了")</formula>
    </cfRule>
    <cfRule type="expression" dxfId="246" priority="293" stopIfTrue="1">
      <formula>$F13="作業中"</formula>
    </cfRule>
    <cfRule type="expression" dxfId="245" priority="292" stopIfTrue="1">
      <formula>$F13="未着手"</formula>
    </cfRule>
  </conditionalFormatting>
  <conditionalFormatting sqref="B28">
    <cfRule type="expression" dxfId="244" priority="196" stopIfTrue="1">
      <formula>#REF!="未着手"</formula>
    </cfRule>
    <cfRule type="expression" dxfId="243" priority="197" stopIfTrue="1">
      <formula>#REF!="作業中"</formula>
    </cfRule>
    <cfRule type="expression" dxfId="242" priority="198" stopIfTrue="1">
      <formula>OR(#REF!="終了",#REF!="完了")</formula>
    </cfRule>
  </conditionalFormatting>
  <conditionalFormatting sqref="B29:B32">
    <cfRule type="expression" dxfId="241" priority="230" stopIfTrue="1">
      <formula>$F26="作業中"</formula>
    </cfRule>
    <cfRule type="expression" dxfId="240" priority="231" stopIfTrue="1">
      <formula>OR($F26="終了",$F26="完了")</formula>
    </cfRule>
    <cfRule type="expression" dxfId="239" priority="229" stopIfTrue="1">
      <formula>$F26="未着手"</formula>
    </cfRule>
  </conditionalFormatting>
  <conditionalFormatting sqref="B34">
    <cfRule type="expression" dxfId="238" priority="300" stopIfTrue="1">
      <formula>OR($F30="終了",$F30="完了")</formula>
    </cfRule>
    <cfRule type="expression" dxfId="237" priority="299" stopIfTrue="1">
      <formula>$F30="作業中"</formula>
    </cfRule>
    <cfRule type="expression" dxfId="236" priority="298" stopIfTrue="1">
      <formula>$F30="未着手"</formula>
    </cfRule>
  </conditionalFormatting>
  <conditionalFormatting sqref="B35">
    <cfRule type="expression" dxfId="235" priority="225" stopIfTrue="1">
      <formula>OR(#REF!="終了",#REF!="完了")</formula>
    </cfRule>
    <cfRule type="expression" dxfId="234" priority="224" stopIfTrue="1">
      <formula>#REF!="作業中"</formula>
    </cfRule>
    <cfRule type="expression" dxfId="233" priority="223" stopIfTrue="1">
      <formula>#REF!="未着手"</formula>
    </cfRule>
  </conditionalFormatting>
  <conditionalFormatting sqref="B39:B43 E7:F26 E29:F33 B33 E35:F38 B45:B61 E51:F62">
    <cfRule type="expression" dxfId="232" priority="220" stopIfTrue="1">
      <formula>$F8="未着手"</formula>
    </cfRule>
  </conditionalFormatting>
  <conditionalFormatting sqref="B105:B65536">
    <cfRule type="expression" dxfId="231" priority="241" stopIfTrue="1">
      <formula>D105="未着手"</formula>
    </cfRule>
    <cfRule type="expression" dxfId="230" priority="243" stopIfTrue="1">
      <formula>OR(D105="終了",D105="完了")</formula>
    </cfRule>
    <cfRule type="expression" dxfId="229" priority="242" stopIfTrue="1">
      <formula>D105="作業中"</formula>
    </cfRule>
  </conditionalFormatting>
  <conditionalFormatting sqref="C5">
    <cfRule type="expression" dxfId="228" priority="192" stopIfTrue="1">
      <formula>OR($D5="終了",$D5="完了")</formula>
    </cfRule>
    <cfRule type="expression" dxfId="227" priority="191" stopIfTrue="1">
      <formula>$D5="作業中"</formula>
    </cfRule>
    <cfRule type="expression" dxfId="226" priority="190" stopIfTrue="1">
      <formula>$D5="未着手"</formula>
    </cfRule>
  </conditionalFormatting>
  <conditionalFormatting sqref="C6:C22">
    <cfRule type="containsText" dxfId="225" priority="164" stopIfTrue="1" operator="containsText" text="斉藤">
      <formula>NOT(ISERROR(SEARCH("斉藤",C6)))</formula>
    </cfRule>
    <cfRule type="containsText" dxfId="224" priority="163" stopIfTrue="1" operator="containsText" text="大高">
      <formula>NOT(ISERROR(SEARCH("大高",C6)))</formula>
    </cfRule>
    <cfRule type="containsText" dxfId="223" priority="165" stopIfTrue="1" operator="containsText" text="金城">
      <formula>NOT(ISERROR(SEARCH("金城",C6)))</formula>
    </cfRule>
    <cfRule type="containsText" dxfId="222" priority="158" operator="containsText" text="未定">
      <formula>NOT(ISERROR(SEARCH("未定",C6)))</formula>
    </cfRule>
    <cfRule type="containsText" dxfId="221" priority="159" operator="containsText" text="佐藤">
      <formula>NOT(ISERROR(SEARCH("佐藤",C6)))</formula>
    </cfRule>
    <cfRule type="containsText" dxfId="220" priority="160" operator="containsText" text="阿曽">
      <formula>NOT(ISERROR(SEARCH("阿曽",C6)))</formula>
    </cfRule>
    <cfRule type="containsText" dxfId="219" priority="161" stopIfTrue="1" operator="containsText" text="幸野">
      <formula>NOT(ISERROR(SEARCH("幸野",C6)))</formula>
    </cfRule>
    <cfRule type="containsText" dxfId="218" priority="162" stopIfTrue="1" operator="containsText" text="飯島">
      <formula>NOT(ISERROR(SEARCH("飯島",C6)))</formula>
    </cfRule>
    <cfRule type="containsText" dxfId="217" priority="133" operator="containsText" text="佐藤">
      <formula>NOT(ISERROR(SEARCH("佐藤",C6)))</formula>
    </cfRule>
  </conditionalFormatting>
  <conditionalFormatting sqref="C16 C41:C44">
    <cfRule type="containsText" dxfId="216" priority="189" stopIfTrue="1" operator="containsText" text="金城">
      <formula>NOT(ISERROR(SEARCH("金城",C16)))</formula>
    </cfRule>
    <cfRule type="containsText" dxfId="215" priority="185" stopIfTrue="1" operator="containsText" text="幸野">
      <formula>NOT(ISERROR(SEARCH("幸野",C16)))</formula>
    </cfRule>
    <cfRule type="containsText" dxfId="214" priority="186" stopIfTrue="1" operator="containsText" text="飯島">
      <formula>NOT(ISERROR(SEARCH("飯島",C16)))</formula>
    </cfRule>
    <cfRule type="containsText" dxfId="213" priority="187" stopIfTrue="1" operator="containsText" text="大高">
      <formula>NOT(ISERROR(SEARCH("大高",C16)))</formula>
    </cfRule>
    <cfRule type="containsText" dxfId="212" priority="188" stopIfTrue="1" operator="containsText" text="斉藤">
      <formula>NOT(ISERROR(SEARCH("斉藤",C16)))</formula>
    </cfRule>
    <cfRule type="containsText" dxfId="211" priority="182" operator="containsText" text="未定">
      <formula>NOT(ISERROR(SEARCH("未定",C16)))</formula>
    </cfRule>
    <cfRule type="containsText" dxfId="210" priority="184" operator="containsText" text="阿曽">
      <formula>NOT(ISERROR(SEARCH("阿曽",C16)))</formula>
    </cfRule>
    <cfRule type="containsText" dxfId="209" priority="183" operator="containsText" text="佐藤">
      <formula>NOT(ISERROR(SEARCH("佐藤",C16)))</formula>
    </cfRule>
  </conditionalFormatting>
  <conditionalFormatting sqref="C17:C18">
    <cfRule type="containsText" dxfId="208" priority="119" operator="containsText" text="阿曽">
      <formula>NOT(ISERROR(SEARCH("阿曽",C17)))</formula>
    </cfRule>
    <cfRule type="containsText" dxfId="207" priority="120" stopIfTrue="1" operator="containsText" text="幸野">
      <formula>NOT(ISERROR(SEARCH("幸野",C17)))</formula>
    </cfRule>
    <cfRule type="containsText" dxfId="206" priority="121" stopIfTrue="1" operator="containsText" text="飯島">
      <formula>NOT(ISERROR(SEARCH("飯島",C17)))</formula>
    </cfRule>
    <cfRule type="containsText" dxfId="205" priority="122" stopIfTrue="1" operator="containsText" text="大高">
      <formula>NOT(ISERROR(SEARCH("大高",C17)))</formula>
    </cfRule>
    <cfRule type="containsText" dxfId="204" priority="123" stopIfTrue="1" operator="containsText" text="斉藤">
      <formula>NOT(ISERROR(SEARCH("斉藤",C17)))</formula>
    </cfRule>
    <cfRule type="containsText" dxfId="203" priority="124" stopIfTrue="1" operator="containsText" text="金城">
      <formula>NOT(ISERROR(SEARCH("金城",C17)))</formula>
    </cfRule>
    <cfRule type="containsText" dxfId="202" priority="117" operator="containsText" text="未定">
      <formula>NOT(ISERROR(SEARCH("未定",C17)))</formula>
    </cfRule>
    <cfRule type="containsText" dxfId="201" priority="118" operator="containsText" text="佐藤">
      <formula>NOT(ISERROR(SEARCH("佐藤",C17)))</formula>
    </cfRule>
  </conditionalFormatting>
  <conditionalFormatting sqref="C23:C30">
    <cfRule type="containsText" dxfId="200" priority="96" stopIfTrue="1" operator="containsText" text="飯島">
      <formula>NOT(ISERROR(SEARCH("飯島",C23)))</formula>
    </cfRule>
    <cfRule type="containsText" dxfId="199" priority="95" stopIfTrue="1" operator="containsText" text="幸野">
      <formula>NOT(ISERROR(SEARCH("幸野",C23)))</formula>
    </cfRule>
    <cfRule type="containsText" dxfId="198" priority="94" operator="containsText" text="阿曽">
      <formula>NOT(ISERROR(SEARCH("阿曽",C23)))</formula>
    </cfRule>
    <cfRule type="containsText" dxfId="197" priority="93" operator="containsText" text="佐藤">
      <formula>NOT(ISERROR(SEARCH("佐藤",C23)))</formula>
    </cfRule>
    <cfRule type="containsText" dxfId="196" priority="92" operator="containsText" text="未定">
      <formula>NOT(ISERROR(SEARCH("未定",C23)))</formula>
    </cfRule>
    <cfRule type="containsText" dxfId="195" priority="97" stopIfTrue="1" operator="containsText" text="大高">
      <formula>NOT(ISERROR(SEARCH("大高",C23)))</formula>
    </cfRule>
    <cfRule type="containsText" dxfId="194" priority="99" stopIfTrue="1" operator="containsText" text="金城">
      <formula>NOT(ISERROR(SEARCH("金城",C23)))</formula>
    </cfRule>
    <cfRule type="containsText" dxfId="193" priority="98" stopIfTrue="1" operator="containsText" text="斉藤">
      <formula>NOT(ISERROR(SEARCH("斉藤",C23)))</formula>
    </cfRule>
  </conditionalFormatting>
  <conditionalFormatting sqref="C23:C62">
    <cfRule type="containsText" dxfId="192" priority="91" operator="containsText" text="佐藤">
      <formula>NOT(ISERROR(SEARCH("佐藤",C23)))</formula>
    </cfRule>
  </conditionalFormatting>
  <conditionalFormatting sqref="C31:C43">
    <cfRule type="containsText" dxfId="191" priority="150" operator="containsText" text="未定">
      <formula>NOT(ISERROR(SEARCH("未定",C31)))</formula>
    </cfRule>
    <cfRule type="containsText" dxfId="190" priority="151" operator="containsText" text="佐藤">
      <formula>NOT(ISERROR(SEARCH("佐藤",C31)))</formula>
    </cfRule>
    <cfRule type="containsText" dxfId="189" priority="152" operator="containsText" text="阿曽">
      <formula>NOT(ISERROR(SEARCH("阿曽",C31)))</formula>
    </cfRule>
    <cfRule type="containsText" dxfId="188" priority="153" stopIfTrue="1" operator="containsText" text="幸野">
      <formula>NOT(ISERROR(SEARCH("幸野",C31)))</formula>
    </cfRule>
    <cfRule type="containsText" dxfId="187" priority="154" stopIfTrue="1" operator="containsText" text="飯島">
      <formula>NOT(ISERROR(SEARCH("飯島",C31)))</formula>
    </cfRule>
    <cfRule type="containsText" dxfId="186" priority="155" stopIfTrue="1" operator="containsText" text="大高">
      <formula>NOT(ISERROR(SEARCH("大高",C31)))</formula>
    </cfRule>
    <cfRule type="containsText" dxfId="185" priority="156" stopIfTrue="1" operator="containsText" text="斉藤">
      <formula>NOT(ISERROR(SEARCH("斉藤",C31)))</formula>
    </cfRule>
    <cfRule type="containsText" dxfId="184" priority="157" stopIfTrue="1" operator="containsText" text="金城">
      <formula>NOT(ISERROR(SEARCH("金城",C31)))</formula>
    </cfRule>
  </conditionalFormatting>
  <conditionalFormatting sqref="C38:C40">
    <cfRule type="containsText" dxfId="183" priority="147" stopIfTrue="1" operator="containsText" text="大高">
      <formula>NOT(ISERROR(SEARCH("大高",C38)))</formula>
    </cfRule>
    <cfRule type="containsText" dxfId="182" priority="149" stopIfTrue="1" operator="containsText" text="金城">
      <formula>NOT(ISERROR(SEARCH("金城",C38)))</formula>
    </cfRule>
    <cfRule type="containsText" dxfId="181" priority="148" stopIfTrue="1" operator="containsText" text="斉藤">
      <formula>NOT(ISERROR(SEARCH("斉藤",C38)))</formula>
    </cfRule>
    <cfRule type="containsText" dxfId="180" priority="142" operator="containsText" text="未定">
      <formula>NOT(ISERROR(SEARCH("未定",C38)))</formula>
    </cfRule>
    <cfRule type="containsText" dxfId="179" priority="146" stopIfTrue="1" operator="containsText" text="飯島">
      <formula>NOT(ISERROR(SEARCH("飯島",C38)))</formula>
    </cfRule>
    <cfRule type="containsText" dxfId="178" priority="145" stopIfTrue="1" operator="containsText" text="幸野">
      <formula>NOT(ISERROR(SEARCH("幸野",C38)))</formula>
    </cfRule>
    <cfRule type="containsText" dxfId="177" priority="144" operator="containsText" text="阿曽">
      <formula>NOT(ISERROR(SEARCH("阿曽",C38)))</formula>
    </cfRule>
    <cfRule type="containsText" dxfId="176" priority="143" operator="containsText" text="佐藤">
      <formula>NOT(ISERROR(SEARCH("佐藤",C38)))</formula>
    </cfRule>
  </conditionalFormatting>
  <conditionalFormatting sqref="C45:C62">
    <cfRule type="containsText" dxfId="175" priority="141" stopIfTrue="1" operator="containsText" text="金城">
      <formula>NOT(ISERROR(SEARCH("金城",C45)))</formula>
    </cfRule>
    <cfRule type="containsText" dxfId="174" priority="140" stopIfTrue="1" operator="containsText" text="斉藤">
      <formula>NOT(ISERROR(SEARCH("斉藤",C45)))</formula>
    </cfRule>
    <cfRule type="containsText" dxfId="173" priority="139" stopIfTrue="1" operator="containsText" text="大高">
      <formula>NOT(ISERROR(SEARCH("大高",C45)))</formula>
    </cfRule>
    <cfRule type="containsText" dxfId="172" priority="138" stopIfTrue="1" operator="containsText" text="飯島">
      <formula>NOT(ISERROR(SEARCH("飯島",C45)))</formula>
    </cfRule>
    <cfRule type="containsText" dxfId="171" priority="136" operator="containsText" text="阿曽">
      <formula>NOT(ISERROR(SEARCH("阿曽",C45)))</formula>
    </cfRule>
    <cfRule type="containsText" dxfId="170" priority="135" operator="containsText" text="佐藤">
      <formula>NOT(ISERROR(SEARCH("佐藤",C45)))</formula>
    </cfRule>
    <cfRule type="containsText" dxfId="169" priority="134" operator="containsText" text="未定">
      <formula>NOT(ISERROR(SEARCH("未定",C45)))</formula>
    </cfRule>
    <cfRule type="containsText" dxfId="168" priority="137" stopIfTrue="1" operator="containsText" text="幸野">
      <formula>NOT(ISERROR(SEARCH("幸野",C45)))</formula>
    </cfRule>
  </conditionalFormatting>
  <conditionalFormatting sqref="C105:C65536">
    <cfRule type="expression" dxfId="167" priority="245" stopIfTrue="1">
      <formula>D105="作業中"</formula>
    </cfRule>
    <cfRule type="expression" dxfId="166" priority="244" stopIfTrue="1">
      <formula>D105="未着手"</formula>
    </cfRule>
    <cfRule type="expression" dxfId="165" priority="246" stopIfTrue="1">
      <formula>OR(D105="終了",D105="完了")</formula>
    </cfRule>
  </conditionalFormatting>
  <conditionalFormatting sqref="D105:D65536">
    <cfRule type="expression" dxfId="164" priority="236" stopIfTrue="1">
      <formula>D105="作業中"</formula>
    </cfRule>
    <cfRule type="expression" dxfId="163" priority="235" stopIfTrue="1">
      <formula>D105="未着手"</formula>
    </cfRule>
    <cfRule type="expression" dxfId="162" priority="237" stopIfTrue="1">
      <formula>OR(D105="終了",D105="完了")</formula>
    </cfRule>
  </conditionalFormatting>
  <conditionalFormatting sqref="E5:F6 B8:B9 B34:B40 B42:B44 F63">
    <cfRule type="expression" dxfId="161" priority="214" stopIfTrue="1">
      <formula>$F5="未着手"</formula>
    </cfRule>
    <cfRule type="expression" dxfId="160" priority="215" stopIfTrue="1">
      <formula>$F5="作業中"</formula>
    </cfRule>
    <cfRule type="expression" dxfId="159" priority="216" stopIfTrue="1">
      <formula>OR($F5="終了",$F5="完了")</formula>
    </cfRule>
  </conditionalFormatting>
  <conditionalFormatting sqref="E7:F26 E29:F33 B33 E35:F38 B39:B43 B45:B61 E51:F62">
    <cfRule type="expression" dxfId="158" priority="221" stopIfTrue="1">
      <formula>$F8="作業中"</formula>
    </cfRule>
    <cfRule type="expression" dxfId="157" priority="222" stopIfTrue="1">
      <formula>OR($F8="終了",$F8="完了")</formula>
    </cfRule>
  </conditionalFormatting>
  <conditionalFormatting sqref="E27:F28">
    <cfRule type="expression" dxfId="156" priority="378" stopIfTrue="1">
      <formula>OR($F35="終了",$F35="完了")</formula>
    </cfRule>
    <cfRule type="expression" dxfId="155" priority="377" stopIfTrue="1">
      <formula>$F35="作業中"</formula>
    </cfRule>
    <cfRule type="expression" dxfId="154" priority="376" stopIfTrue="1">
      <formula>$F35="未着手"</formula>
    </cfRule>
  </conditionalFormatting>
  <conditionalFormatting sqref="E34:F34">
    <cfRule type="expression" dxfId="153" priority="83" stopIfTrue="1">
      <formula>#REF!="作業中"</formula>
    </cfRule>
    <cfRule type="expression" dxfId="152" priority="84" stopIfTrue="1">
      <formula>OR(#REF!="終了",#REF!="完了")</formula>
    </cfRule>
    <cfRule type="expression" dxfId="151" priority="82" stopIfTrue="1">
      <formula>#REF!="未着手"</formula>
    </cfRule>
  </conditionalFormatting>
  <conditionalFormatting sqref="E39:F39 E42:F50">
    <cfRule type="expression" dxfId="150" priority="87" stopIfTrue="1">
      <formula>OR($F41="終了",$F41="完了")</formula>
    </cfRule>
    <cfRule type="expression" dxfId="149" priority="86" stopIfTrue="1">
      <formula>$F41="作業中"</formula>
    </cfRule>
    <cfRule type="expression" dxfId="148" priority="85" stopIfTrue="1">
      <formula>$F41="未着手"</formula>
    </cfRule>
  </conditionalFormatting>
  <conditionalFormatting sqref="E40:F41">
    <cfRule type="expression" dxfId="147" priority="383" stopIfTrue="1">
      <formula>$F43="作業中"</formula>
    </cfRule>
    <cfRule type="expression" dxfId="146" priority="382" stopIfTrue="1">
      <formula>$F43="未着手"</formula>
    </cfRule>
    <cfRule type="expression" dxfId="145" priority="384" stopIfTrue="1">
      <formula>OR($F43="終了",$F43="完了")</formula>
    </cfRule>
  </conditionalFormatting>
  <conditionalFormatting sqref="F65:F105">
    <cfRule type="expression" dxfId="144" priority="306" stopIfTrue="1">
      <formula>OR($D64="終了",$D64="完了")</formula>
    </cfRule>
    <cfRule type="expression" dxfId="143" priority="305" stopIfTrue="1">
      <formula>$D64="作業中"</formula>
    </cfRule>
    <cfRule type="expression" dxfId="142" priority="304" stopIfTrue="1">
      <formula>$D64="未着手"</formula>
    </cfRule>
  </conditionalFormatting>
  <conditionalFormatting sqref="F106:F65536">
    <cfRule type="expression" dxfId="141" priority="316" stopIfTrue="1">
      <formula>$D105="未着手"</formula>
    </cfRule>
    <cfRule type="expression" dxfId="140" priority="317" stopIfTrue="1">
      <formula>$D105="作業中"</formula>
    </cfRule>
    <cfRule type="expression" dxfId="139" priority="318" stopIfTrue="1">
      <formula>OR($D105="終了",$D105="完了")</formula>
    </cfRule>
  </conditionalFormatting>
  <conditionalFormatting sqref="G34 G36:G39">
    <cfRule type="expression" dxfId="138" priority="55" stopIfTrue="1">
      <formula>$F33="未着手"</formula>
    </cfRule>
    <cfRule type="expression" dxfId="137" priority="56" stopIfTrue="1">
      <formula>$F33="作業中"</formula>
    </cfRule>
    <cfRule type="expression" dxfId="136" priority="57" stopIfTrue="1">
      <formula>OR($F33="終了",$F33="完了")</formula>
    </cfRule>
  </conditionalFormatting>
  <conditionalFormatting sqref="G40 G43:G51">
    <cfRule type="expression" dxfId="135" priority="62" stopIfTrue="1">
      <formula>$F40="作業中"</formula>
    </cfRule>
    <cfRule type="expression" dxfId="134" priority="61" stopIfTrue="1">
      <formula>$F40="未着手"</formula>
    </cfRule>
    <cfRule type="expression" dxfId="133" priority="63" stopIfTrue="1">
      <formula>OR($F40="終了",$F40="完了")</formula>
    </cfRule>
  </conditionalFormatting>
  <conditionalFormatting sqref="G41:G42">
    <cfRule type="expression" dxfId="132" priority="54" stopIfTrue="1">
      <formula>OR($F42="終了",$F42="完了")</formula>
    </cfRule>
    <cfRule type="expression" dxfId="131" priority="53" stopIfTrue="1">
      <formula>$F42="作業中"</formula>
    </cfRule>
    <cfRule type="expression" dxfId="130" priority="52" stopIfTrue="1">
      <formula>$F42="未着手"</formula>
    </cfRule>
  </conditionalFormatting>
  <conditionalFormatting sqref="G6:H25">
    <cfRule type="expression" dxfId="129" priority="13" stopIfTrue="1">
      <formula>$F5="未着手"</formula>
    </cfRule>
    <cfRule type="expression" dxfId="128" priority="14" stopIfTrue="1">
      <formula>$F5="作業中"</formula>
    </cfRule>
    <cfRule type="expression" dxfId="127" priority="15" stopIfTrue="1">
      <formula>OR($F5="終了",$F5="完了")</formula>
    </cfRule>
  </conditionalFormatting>
  <conditionalFormatting sqref="G26:H26">
    <cfRule type="expression" dxfId="126" priority="36" stopIfTrue="1">
      <formula>OR(#REF!="終了",#REF!="完了")</formula>
    </cfRule>
    <cfRule type="expression" dxfId="125" priority="34" stopIfTrue="1">
      <formula>#REF!="未着手"</formula>
    </cfRule>
    <cfRule type="expression" dxfId="124" priority="35" stopIfTrue="1">
      <formula>#REF!="作業中"</formula>
    </cfRule>
  </conditionalFormatting>
  <conditionalFormatting sqref="G27:H28">
    <cfRule type="expression" dxfId="123" priority="19" stopIfTrue="1">
      <formula>$F34="未着手"</formula>
    </cfRule>
    <cfRule type="expression" dxfId="122" priority="21" stopIfTrue="1">
      <formula>OR($F34="終了",$F34="完了")</formula>
    </cfRule>
    <cfRule type="expression" dxfId="121" priority="20" stopIfTrue="1">
      <formula>$F34="作業中"</formula>
    </cfRule>
  </conditionalFormatting>
  <conditionalFormatting sqref="G29:H32 H36:H49 G52:H63">
    <cfRule type="expression" dxfId="120" priority="26" stopIfTrue="1">
      <formula>$F28="作業中"</formula>
    </cfRule>
    <cfRule type="expression" dxfId="119" priority="25" stopIfTrue="1">
      <formula>$F28="未着手"</formula>
    </cfRule>
    <cfRule type="expression" dxfId="118" priority="27" stopIfTrue="1">
      <formula>OR($F28="終了",$F28="完了")</formula>
    </cfRule>
  </conditionalFormatting>
  <conditionalFormatting sqref="G33:H33">
    <cfRule type="expression" dxfId="117" priority="30" stopIfTrue="1">
      <formula>OR($F31="終了",$F31="完了")</formula>
    </cfRule>
    <cfRule type="expression" dxfId="116" priority="29" stopIfTrue="1">
      <formula>$F31="作業中"</formula>
    </cfRule>
    <cfRule type="expression" dxfId="115" priority="28" stopIfTrue="1">
      <formula>$F31="未着手"</formula>
    </cfRule>
  </conditionalFormatting>
  <conditionalFormatting sqref="G35:H35">
    <cfRule type="expression" dxfId="114" priority="24" stopIfTrue="1">
      <formula>OR(#REF!="終了",#REF!="完了")</formula>
    </cfRule>
    <cfRule type="expression" dxfId="113" priority="23" stopIfTrue="1">
      <formula>#REF!="作業中"</formula>
    </cfRule>
    <cfRule type="expression" dxfId="112" priority="22" stopIfTrue="1">
      <formula>#REF!="未着手"</formula>
    </cfRule>
  </conditionalFormatting>
  <conditionalFormatting sqref="G105:I105 E105:E65536 G106:X65536">
    <cfRule type="expression" dxfId="111" priority="247" stopIfTrue="1">
      <formula>$D105="未着手"</formula>
    </cfRule>
    <cfRule type="expression" dxfId="110" priority="249" stopIfTrue="1">
      <formula>OR($D105="終了",$D105="完了")</formula>
    </cfRule>
    <cfRule type="expression" dxfId="109" priority="248" stopIfTrue="1">
      <formula>$D105="作業中"</formula>
    </cfRule>
  </conditionalFormatting>
  <conditionalFormatting sqref="H50:H51">
    <cfRule type="expression" dxfId="108" priority="31" stopIfTrue="1">
      <formula>$F50="未着手"</formula>
    </cfRule>
    <cfRule type="expression" dxfId="107" priority="33" stopIfTrue="1">
      <formula>OR($F50="終了",$F50="完了")</formula>
    </cfRule>
    <cfRule type="expression" dxfId="106" priority="32" stopIfTrue="1">
      <formula>$F50="作業中"</formula>
    </cfRule>
  </conditionalFormatting>
  <conditionalFormatting sqref="N29:P29 R29 U29:X30 N30:R30">
    <cfRule type="expression" dxfId="105" priority="9" stopIfTrue="1">
      <formula>OR(#REF!="終了",#REF!="完了")</formula>
    </cfRule>
    <cfRule type="expression" dxfId="104" priority="8" stopIfTrue="1">
      <formula>#REF!="作業中"</formula>
    </cfRule>
    <cfRule type="expression" dxfId="103" priority="7" stopIfTrue="1">
      <formula>#REF!="未着手"</formula>
    </cfRule>
  </conditionalFormatting>
  <conditionalFormatting sqref="N5:X16 J5:M34 O17:X21 N17:N28 Q22:X23 O22:P28 R24:X28 Q24:Q29 S29:T30 N31:X34 J35:X35 N36:X38 K36:M62 J36:J63 N39:W39 N40:X42 J65:X105">
    <cfRule type="expression" dxfId="102" priority="3" stopIfTrue="1">
      <formula>OR($D5="終了",$D5="完了")</formula>
    </cfRule>
    <cfRule type="expression" dxfId="101" priority="2" stopIfTrue="1">
      <formula>$D5="作業中"</formula>
    </cfRule>
    <cfRule type="expression" dxfId="100" priority="1" stopIfTrue="1">
      <formula>$D5="未着手"</formula>
    </cfRule>
  </conditionalFormatting>
  <conditionalFormatting sqref="X39 N43:X62 K63:X64">
    <cfRule type="expression" dxfId="99" priority="5" stopIfTrue="1">
      <formula>$D38="作業中"</formula>
    </cfRule>
    <cfRule type="expression" dxfId="98" priority="4" stopIfTrue="1">
      <formula>$D38="未着手"</formula>
    </cfRule>
    <cfRule type="expression" dxfId="97" priority="6" stopIfTrue="1">
      <formula>OR($D38="終了",$D38="完了")</formula>
    </cfRule>
  </conditionalFormatting>
  <dataValidations count="1">
    <dataValidation type="list" allowBlank="1" showInputMessage="1" showErrorMessage="1" sqref="C6:C62" xr:uid="{00000000-0002-0000-0300-000000000000}">
      <formula1>"宮内,斉藤,SIM,桑原,杉浦,根岸,未定"</formula1>
    </dataValidation>
  </dataValidations>
  <pageMargins left="0.75" right="0.75" top="1" bottom="1" header="0.51200000000000001" footer="0.51200000000000001"/>
  <pageSetup paperSize="9" orientation="portrait" horizontalDpi="300" verticalDpi="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88"/>
  <sheetViews>
    <sheetView topLeftCell="B49" zoomScale="130" zoomScaleNormal="70" workbookViewId="0">
      <selection activeCell="C17" sqref="C17"/>
    </sheetView>
  </sheetViews>
  <sheetFormatPr defaultColWidth="8.875" defaultRowHeight="13.5"/>
  <cols>
    <col min="1" max="1" width="3.875" customWidth="1"/>
    <col min="2" max="2" width="41.625" style="2" customWidth="1"/>
    <col min="3" max="3" width="9" style="2"/>
    <col min="4" max="4" width="8.25" style="1" customWidth="1"/>
    <col min="5" max="6" width="6.75" style="4" customWidth="1"/>
    <col min="7" max="8" width="6.75" style="7" customWidth="1"/>
    <col min="9" max="9" width="6.75" style="1" customWidth="1"/>
    <col min="10" max="10" width="4.75" style="21" customWidth="1"/>
    <col min="11" max="11" width="4.875" style="21" customWidth="1"/>
    <col min="12" max="14" width="4.75" style="21" customWidth="1"/>
    <col min="15" max="15" width="2.75" customWidth="1"/>
    <col min="26" max="26" width="14.125" customWidth="1"/>
    <col min="27" max="27" width="4.75" customWidth="1"/>
    <col min="28" max="28" width="3.75" customWidth="1"/>
  </cols>
  <sheetData>
    <row r="1" spans="1:44" ht="15" customHeight="1">
      <c r="A1" s="72" t="s">
        <v>141</v>
      </c>
      <c r="B1" s="72" t="s">
        <v>142</v>
      </c>
      <c r="C1" s="72" t="s">
        <v>143</v>
      </c>
      <c r="D1" s="72" t="s">
        <v>144</v>
      </c>
      <c r="E1" s="75" t="s">
        <v>145</v>
      </c>
      <c r="F1" s="75" t="s">
        <v>146</v>
      </c>
      <c r="G1" s="72" t="s">
        <v>147</v>
      </c>
      <c r="H1" s="72" t="s">
        <v>148</v>
      </c>
      <c r="I1" s="72" t="s">
        <v>149</v>
      </c>
      <c r="J1" s="77" t="s">
        <v>150</v>
      </c>
      <c r="K1" s="71"/>
      <c r="L1" s="71"/>
      <c r="M1" s="71"/>
      <c r="N1" s="71"/>
    </row>
    <row r="2" spans="1:44">
      <c r="A2" s="72"/>
      <c r="B2" s="73"/>
      <c r="C2" s="73"/>
      <c r="D2" s="72"/>
      <c r="E2" s="75"/>
      <c r="F2" s="75"/>
      <c r="G2" s="76"/>
      <c r="H2" s="76"/>
      <c r="I2" s="72"/>
      <c r="J2" s="24" t="s">
        <v>151</v>
      </c>
      <c r="K2" s="24" t="s">
        <v>152</v>
      </c>
      <c r="L2" s="24" t="s">
        <v>153</v>
      </c>
      <c r="M2" s="24" t="s">
        <v>154</v>
      </c>
      <c r="N2" s="23" t="s">
        <v>155</v>
      </c>
    </row>
    <row r="3" spans="1:44">
      <c r="A3" s="72"/>
      <c r="B3" s="73"/>
      <c r="C3" s="73"/>
      <c r="D3" s="72"/>
      <c r="E3" s="75"/>
      <c r="F3" s="75"/>
      <c r="G3" s="76"/>
      <c r="H3" s="76"/>
      <c r="I3" s="72"/>
      <c r="J3" s="17">
        <f>INT(($J$4-(COLUMN()-COLUMN($J4))*($J$4/COUNTA($J$2:$N$2))))</f>
        <v>82</v>
      </c>
      <c r="K3" s="17">
        <f>INT(($J$4-(COLUMN()-COLUMN($J4))*($J$4/COUNTA($J$2:$N$2))))</f>
        <v>65</v>
      </c>
      <c r="L3" s="17">
        <f>INT(($J$4-(COLUMN()-COLUMN($J4))*($J$4/COUNTA($J$2:$N$2))))</f>
        <v>49</v>
      </c>
      <c r="M3" s="17">
        <f>INT(($J$4-(COLUMN()-COLUMN($J4))*($J$4/COUNTA($J$2:$N$2))))</f>
        <v>32</v>
      </c>
      <c r="N3" s="17">
        <f>INT(($J$4-(COLUMN()-COLUMN($J4))*($J$4/COUNTA($J$2:$N$2))))</f>
        <v>16</v>
      </c>
    </row>
    <row r="4" spans="1:44">
      <c r="A4" s="72"/>
      <c r="B4" s="73"/>
      <c r="C4" s="74"/>
      <c r="D4" s="72"/>
      <c r="E4" s="75"/>
      <c r="F4" s="75"/>
      <c r="G4" s="76"/>
      <c r="H4" s="76"/>
      <c r="I4" s="72"/>
      <c r="J4" s="18">
        <f>SUM(J5:J104)</f>
        <v>82</v>
      </c>
      <c r="K4" s="18">
        <f>SUM(K5:K104)</f>
        <v>72</v>
      </c>
      <c r="L4" s="18">
        <f>SUM(L5:L104)</f>
        <v>55</v>
      </c>
      <c r="M4" s="18">
        <f>SUM(M5:M104)</f>
        <v>32</v>
      </c>
      <c r="N4" s="18">
        <f>SUM(N5:N104)</f>
        <v>14</v>
      </c>
    </row>
    <row r="5" spans="1:44" ht="14.25">
      <c r="A5" s="68">
        <v>1</v>
      </c>
      <c r="B5" s="25" t="s">
        <v>108</v>
      </c>
      <c r="C5" s="8" t="s">
        <v>86</v>
      </c>
      <c r="D5" s="9" t="str">
        <f t="shared" ref="D5:D15" ca="1" si="0">IF(ISBLANK($B5),"",IF(ISBLANK($F5),"未着手",IF($I5=0,"完了","作業中")))</f>
        <v>完了</v>
      </c>
      <c r="E5" s="3">
        <v>42863</v>
      </c>
      <c r="F5" s="3">
        <v>42863</v>
      </c>
      <c r="G5" s="12">
        <v>2</v>
      </c>
      <c r="H5" s="12">
        <v>2</v>
      </c>
      <c r="I5" s="9">
        <f t="shared" ref="I5:I36" ca="1" si="1">IF(ISBLANK(J5)=FALSE,OFFSET(I5,0,COUNTA(J5:N5)),"")</f>
        <v>0</v>
      </c>
      <c r="J5" s="19">
        <v>2</v>
      </c>
      <c r="K5" s="19">
        <v>2</v>
      </c>
      <c r="L5" s="19">
        <v>0</v>
      </c>
      <c r="M5" s="19">
        <v>0</v>
      </c>
      <c r="N5" s="19">
        <v>0</v>
      </c>
    </row>
    <row r="6" spans="1:44" ht="14.25">
      <c r="A6" s="68">
        <v>2</v>
      </c>
      <c r="B6" s="25" t="s">
        <v>156</v>
      </c>
      <c r="C6" s="8" t="s">
        <v>86</v>
      </c>
      <c r="D6" s="9" t="str">
        <f t="shared" ca="1" si="0"/>
        <v>作業中</v>
      </c>
      <c r="E6" s="3">
        <v>42871</v>
      </c>
      <c r="F6" s="3">
        <v>42871</v>
      </c>
      <c r="G6" s="12">
        <v>4</v>
      </c>
      <c r="H6" s="12">
        <v>4</v>
      </c>
      <c r="I6" s="9">
        <f t="shared" ca="1" si="1"/>
        <v>4</v>
      </c>
      <c r="J6" s="19">
        <v>4</v>
      </c>
      <c r="K6" s="19">
        <v>4</v>
      </c>
      <c r="L6" s="19">
        <v>4</v>
      </c>
      <c r="M6" s="19">
        <v>4</v>
      </c>
      <c r="N6" s="19">
        <v>4</v>
      </c>
    </row>
    <row r="7" spans="1:44" ht="14.25">
      <c r="A7" s="68">
        <v>3</v>
      </c>
      <c r="B7" s="25" t="s">
        <v>111</v>
      </c>
      <c r="C7" s="8" t="s">
        <v>86</v>
      </c>
      <c r="D7" s="9" t="str">
        <f t="shared" ca="1" si="0"/>
        <v>完了</v>
      </c>
      <c r="E7" s="3">
        <v>42867</v>
      </c>
      <c r="F7" s="3">
        <v>42867</v>
      </c>
      <c r="G7" s="12">
        <v>1</v>
      </c>
      <c r="H7" s="12">
        <v>1</v>
      </c>
      <c r="I7" s="9">
        <f t="shared" ca="1" si="1"/>
        <v>0</v>
      </c>
      <c r="J7" s="19">
        <v>1</v>
      </c>
      <c r="K7" s="19">
        <v>0</v>
      </c>
      <c r="L7" s="19">
        <v>0</v>
      </c>
      <c r="M7" s="19">
        <v>0</v>
      </c>
      <c r="N7" s="19">
        <v>0</v>
      </c>
    </row>
    <row r="8" spans="1:44" ht="14.25">
      <c r="A8" s="68">
        <v>4</v>
      </c>
      <c r="B8" s="25" t="s">
        <v>112</v>
      </c>
      <c r="C8" s="8" t="s">
        <v>75</v>
      </c>
      <c r="D8" s="9" t="str">
        <f t="shared" ca="1" si="0"/>
        <v>完了</v>
      </c>
      <c r="E8" s="3">
        <v>42864</v>
      </c>
      <c r="F8" s="3">
        <v>42864</v>
      </c>
      <c r="G8" s="12">
        <v>2</v>
      </c>
      <c r="H8" s="12">
        <v>2</v>
      </c>
      <c r="I8" s="9">
        <f t="shared" ca="1" si="1"/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</row>
    <row r="9" spans="1:44" ht="14.25">
      <c r="A9" s="68">
        <v>5</v>
      </c>
      <c r="B9" s="25" t="s">
        <v>157</v>
      </c>
      <c r="C9" s="8" t="s">
        <v>75</v>
      </c>
      <c r="D9" s="9" t="str">
        <f t="shared" ca="1" si="0"/>
        <v>完了</v>
      </c>
      <c r="E9" s="3">
        <v>42864</v>
      </c>
      <c r="F9" s="3">
        <v>42864</v>
      </c>
      <c r="G9" s="12">
        <v>1</v>
      </c>
      <c r="H9" s="12">
        <v>1</v>
      </c>
      <c r="I9" s="9">
        <f t="shared" ca="1" si="1"/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AR9">
        <v>1</v>
      </c>
    </row>
    <row r="10" spans="1:44" ht="14.25">
      <c r="A10" s="68">
        <v>6</v>
      </c>
      <c r="B10" s="25" t="s">
        <v>158</v>
      </c>
      <c r="C10" s="8" t="s">
        <v>118</v>
      </c>
      <c r="D10" s="9" t="str">
        <f t="shared" ca="1" si="0"/>
        <v>完了</v>
      </c>
      <c r="E10" s="3">
        <v>42864</v>
      </c>
      <c r="F10" s="3">
        <v>42864</v>
      </c>
      <c r="G10" s="12">
        <v>1</v>
      </c>
      <c r="H10" s="12">
        <v>1</v>
      </c>
      <c r="I10" s="9">
        <f t="shared" ca="1" si="1"/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</row>
    <row r="11" spans="1:44" ht="14.25">
      <c r="A11" s="68"/>
      <c r="B11" s="25" t="s">
        <v>159</v>
      </c>
      <c r="C11" s="8" t="s">
        <v>81</v>
      </c>
      <c r="D11" s="9" t="str">
        <f t="shared" ca="1" si="0"/>
        <v>完了</v>
      </c>
      <c r="E11" s="3">
        <v>42871</v>
      </c>
      <c r="F11" s="3">
        <v>42874</v>
      </c>
      <c r="G11" s="12">
        <v>4</v>
      </c>
      <c r="H11" s="12">
        <v>4</v>
      </c>
      <c r="I11" s="9">
        <f t="shared" ca="1" si="1"/>
        <v>0</v>
      </c>
      <c r="J11" s="19">
        <v>4</v>
      </c>
      <c r="K11" s="19">
        <v>4</v>
      </c>
      <c r="L11" s="19">
        <v>4</v>
      </c>
      <c r="M11" s="19">
        <v>4</v>
      </c>
      <c r="N11" s="19">
        <v>0</v>
      </c>
    </row>
    <row r="12" spans="1:44" ht="14.25">
      <c r="A12" s="68">
        <v>8</v>
      </c>
      <c r="B12" s="25" t="s">
        <v>112</v>
      </c>
      <c r="C12" s="8" t="s">
        <v>75</v>
      </c>
      <c r="D12" s="9" t="str">
        <f t="shared" ca="1" si="0"/>
        <v>完了</v>
      </c>
      <c r="E12" s="3">
        <v>42864</v>
      </c>
      <c r="F12" s="3">
        <v>42864</v>
      </c>
      <c r="G12" s="12">
        <v>2</v>
      </c>
      <c r="H12" s="12">
        <v>2</v>
      </c>
      <c r="I12" s="9">
        <f t="shared" ca="1" si="1"/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</row>
    <row r="13" spans="1:44" ht="14.25">
      <c r="A13" s="68">
        <v>9</v>
      </c>
      <c r="B13" s="25" t="s">
        <v>113</v>
      </c>
      <c r="C13" s="8" t="s">
        <v>86</v>
      </c>
      <c r="D13" s="9" t="str">
        <f t="shared" ca="1" si="0"/>
        <v>完了</v>
      </c>
      <c r="E13" s="3">
        <v>42864</v>
      </c>
      <c r="F13" s="3">
        <v>42864</v>
      </c>
      <c r="G13" s="12">
        <v>5</v>
      </c>
      <c r="H13" s="12">
        <v>5</v>
      </c>
      <c r="I13" s="9">
        <f t="shared" ca="1" si="1"/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</row>
    <row r="14" spans="1:44">
      <c r="A14" s="68">
        <v>10</v>
      </c>
      <c r="B14" s="11" t="s">
        <v>160</v>
      </c>
      <c r="C14" s="8" t="s">
        <v>120</v>
      </c>
      <c r="D14" s="9" t="str">
        <f t="shared" ca="1" si="0"/>
        <v>完了</v>
      </c>
      <c r="E14" s="3">
        <v>42867</v>
      </c>
      <c r="F14" s="3">
        <v>42867</v>
      </c>
      <c r="G14" s="12">
        <v>5</v>
      </c>
      <c r="H14" s="12">
        <v>5</v>
      </c>
      <c r="I14" s="9">
        <f t="shared" ca="1" si="1"/>
        <v>0</v>
      </c>
      <c r="J14" s="19">
        <v>3</v>
      </c>
      <c r="K14" s="19">
        <v>3</v>
      </c>
      <c r="L14" s="19">
        <v>0</v>
      </c>
      <c r="M14" s="19">
        <v>0</v>
      </c>
      <c r="N14" s="19">
        <v>0</v>
      </c>
    </row>
    <row r="15" spans="1:44">
      <c r="A15" s="68">
        <v>11</v>
      </c>
      <c r="B15" s="11" t="s">
        <v>161</v>
      </c>
      <c r="C15" s="8" t="s">
        <v>120</v>
      </c>
      <c r="D15" s="9" t="str">
        <f t="shared" ca="1" si="0"/>
        <v>完了</v>
      </c>
      <c r="E15" s="3">
        <v>42871</v>
      </c>
      <c r="F15" s="3">
        <v>42871</v>
      </c>
      <c r="G15" s="12">
        <v>1</v>
      </c>
      <c r="H15" s="12">
        <v>1</v>
      </c>
      <c r="I15" s="9">
        <f t="shared" ca="1" si="1"/>
        <v>0</v>
      </c>
      <c r="J15" s="19">
        <v>1</v>
      </c>
      <c r="K15" s="19">
        <v>1</v>
      </c>
      <c r="L15" s="19">
        <v>0</v>
      </c>
      <c r="M15" s="19">
        <v>0</v>
      </c>
      <c r="N15" s="19">
        <v>0</v>
      </c>
    </row>
    <row r="16" spans="1:44">
      <c r="A16" s="68">
        <v>12</v>
      </c>
      <c r="B16" s="11" t="s">
        <v>162</v>
      </c>
      <c r="C16" s="8" t="s">
        <v>81</v>
      </c>
      <c r="D16" s="9" t="str">
        <f t="shared" ref="D16:D36" ca="1" si="2">IF(ISBLANK($B16),"",IF(ISBLANK($F16),"未着手",IF($I16=0,"完了","作業中")))</f>
        <v>作業中</v>
      </c>
      <c r="E16" s="3">
        <v>42871</v>
      </c>
      <c r="F16" s="3">
        <v>42871</v>
      </c>
      <c r="G16" s="12">
        <v>4</v>
      </c>
      <c r="H16" s="12">
        <v>4</v>
      </c>
      <c r="I16" s="9">
        <f t="shared" ca="1" si="1"/>
        <v>4</v>
      </c>
      <c r="J16" s="19">
        <v>4</v>
      </c>
      <c r="K16" s="19">
        <v>4</v>
      </c>
      <c r="L16" s="19">
        <v>4</v>
      </c>
      <c r="M16" s="19">
        <v>4</v>
      </c>
      <c r="N16" s="19">
        <v>4</v>
      </c>
    </row>
    <row r="17" spans="1:14">
      <c r="A17" s="68">
        <v>13</v>
      </c>
      <c r="B17" s="11" t="s">
        <v>163</v>
      </c>
      <c r="C17" s="8" t="s">
        <v>118</v>
      </c>
      <c r="D17" s="9" t="str">
        <f t="shared" ca="1" si="2"/>
        <v>完了</v>
      </c>
      <c r="E17" s="3">
        <v>42871</v>
      </c>
      <c r="F17" s="3">
        <v>42871</v>
      </c>
      <c r="G17" s="12">
        <v>2</v>
      </c>
      <c r="H17" s="12">
        <v>2</v>
      </c>
      <c r="I17" s="9">
        <f t="shared" ca="1" si="1"/>
        <v>0</v>
      </c>
      <c r="J17" s="19">
        <v>2</v>
      </c>
      <c r="K17" s="19">
        <v>2</v>
      </c>
      <c r="L17" s="19">
        <v>2</v>
      </c>
      <c r="M17" s="19">
        <v>2</v>
      </c>
      <c r="N17" s="19">
        <v>0</v>
      </c>
    </row>
    <row r="18" spans="1:14">
      <c r="A18" s="68">
        <v>14</v>
      </c>
      <c r="B18" s="11" t="s">
        <v>164</v>
      </c>
      <c r="C18" s="8" t="s">
        <v>86</v>
      </c>
      <c r="D18" s="9" t="str">
        <f t="shared" ca="1" si="2"/>
        <v>完了</v>
      </c>
      <c r="E18" s="3">
        <v>42864</v>
      </c>
      <c r="F18" s="3">
        <v>42864</v>
      </c>
      <c r="G18" s="12">
        <v>2</v>
      </c>
      <c r="H18" s="12">
        <v>2</v>
      </c>
      <c r="I18" s="9">
        <f t="shared" ca="1" si="1"/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</row>
    <row r="19" spans="1:14">
      <c r="A19" s="68">
        <v>15</v>
      </c>
      <c r="B19" s="11" t="s">
        <v>165</v>
      </c>
      <c r="C19" s="8" t="s">
        <v>81</v>
      </c>
      <c r="D19" s="9" t="str">
        <f t="shared" ca="1" si="2"/>
        <v>完了</v>
      </c>
      <c r="E19" s="3">
        <v>42864</v>
      </c>
      <c r="F19" s="3">
        <v>42864</v>
      </c>
      <c r="G19" s="12">
        <v>2</v>
      </c>
      <c r="H19" s="12">
        <v>2</v>
      </c>
      <c r="I19" s="9">
        <f t="shared" ca="1" si="1"/>
        <v>0</v>
      </c>
      <c r="J19" s="19">
        <v>1</v>
      </c>
      <c r="K19" s="19">
        <v>1</v>
      </c>
      <c r="L19" s="19">
        <v>0</v>
      </c>
      <c r="M19" s="19">
        <v>0</v>
      </c>
      <c r="N19" s="19">
        <v>0</v>
      </c>
    </row>
    <row r="20" spans="1:14">
      <c r="A20" s="68">
        <v>16</v>
      </c>
      <c r="B20" s="11" t="s">
        <v>166</v>
      </c>
      <c r="C20" s="8" t="s">
        <v>75</v>
      </c>
      <c r="D20" s="9" t="str">
        <f t="shared" ca="1" si="2"/>
        <v>完了</v>
      </c>
      <c r="E20" s="3">
        <v>42864</v>
      </c>
      <c r="F20" s="3">
        <v>42864</v>
      </c>
      <c r="G20" s="12">
        <v>0.5</v>
      </c>
      <c r="H20" s="12">
        <v>0.5</v>
      </c>
      <c r="I20" s="9">
        <f t="shared" ca="1" si="1"/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</row>
    <row r="21" spans="1:14">
      <c r="A21" s="68">
        <v>17</v>
      </c>
      <c r="B21" s="11" t="s">
        <v>167</v>
      </c>
      <c r="C21" s="8" t="s">
        <v>75</v>
      </c>
      <c r="D21" s="9" t="str">
        <f t="shared" ca="1" si="2"/>
        <v>完了</v>
      </c>
      <c r="E21" s="3">
        <v>42864</v>
      </c>
      <c r="F21" s="3">
        <v>42864</v>
      </c>
      <c r="G21" s="12">
        <v>0.5</v>
      </c>
      <c r="H21" s="12">
        <v>0.5</v>
      </c>
      <c r="I21" s="9">
        <f t="shared" ca="1" si="1"/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14">
      <c r="A22" s="68">
        <v>18</v>
      </c>
      <c r="B22" s="11" t="s">
        <v>168</v>
      </c>
      <c r="C22" s="8" t="s">
        <v>75</v>
      </c>
      <c r="D22" s="9" t="str">
        <f t="shared" ca="1" si="2"/>
        <v>完了</v>
      </c>
      <c r="E22" s="3">
        <v>42864</v>
      </c>
      <c r="F22" s="3">
        <v>42864</v>
      </c>
      <c r="G22" s="12">
        <v>0.5</v>
      </c>
      <c r="H22" s="12">
        <v>0.5</v>
      </c>
      <c r="I22" s="9">
        <f t="shared" ca="1" si="1"/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</row>
    <row r="23" spans="1:14">
      <c r="A23" s="68">
        <v>19</v>
      </c>
      <c r="B23" s="11" t="s">
        <v>169</v>
      </c>
      <c r="C23" s="8" t="s">
        <v>75</v>
      </c>
      <c r="D23" s="9" t="str">
        <f t="shared" ca="1" si="2"/>
        <v>完了</v>
      </c>
      <c r="E23" s="3">
        <v>42864</v>
      </c>
      <c r="F23" s="3">
        <v>42864</v>
      </c>
      <c r="G23" s="12">
        <v>0.5</v>
      </c>
      <c r="H23" s="12">
        <v>0.5</v>
      </c>
      <c r="I23" s="9">
        <f t="shared" ca="1" si="1"/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</row>
    <row r="24" spans="1:14">
      <c r="A24" s="68">
        <v>20</v>
      </c>
      <c r="B24" s="11" t="s">
        <v>170</v>
      </c>
      <c r="C24" s="8" t="s">
        <v>75</v>
      </c>
      <c r="D24" s="9" t="str">
        <f t="shared" ca="1" si="2"/>
        <v>完了</v>
      </c>
      <c r="E24" s="3">
        <v>42864</v>
      </c>
      <c r="F24" s="3">
        <v>42864</v>
      </c>
      <c r="G24" s="12">
        <v>0.5</v>
      </c>
      <c r="H24" s="12">
        <v>0.5</v>
      </c>
      <c r="I24" s="9">
        <f t="shared" ca="1" si="1"/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</row>
    <row r="25" spans="1:14">
      <c r="A25" s="68">
        <v>21</v>
      </c>
      <c r="B25" s="11" t="s">
        <v>171</v>
      </c>
      <c r="C25" s="8" t="s">
        <v>120</v>
      </c>
      <c r="D25" s="9" t="str">
        <f t="shared" ca="1" si="2"/>
        <v>完了</v>
      </c>
      <c r="E25" s="3">
        <v>42864</v>
      </c>
      <c r="F25" s="3">
        <v>42864</v>
      </c>
      <c r="G25" s="12">
        <v>2</v>
      </c>
      <c r="H25" s="12">
        <v>2</v>
      </c>
      <c r="I25" s="9">
        <f t="shared" ca="1" si="1"/>
        <v>0</v>
      </c>
      <c r="J25" s="19">
        <v>2</v>
      </c>
      <c r="K25" s="19">
        <v>3</v>
      </c>
      <c r="L25" s="19">
        <v>0</v>
      </c>
      <c r="M25" s="19">
        <v>0</v>
      </c>
      <c r="N25" s="19">
        <v>0</v>
      </c>
    </row>
    <row r="26" spans="1:14">
      <c r="A26" s="68">
        <v>22</v>
      </c>
      <c r="B26" s="11" t="s">
        <v>172</v>
      </c>
      <c r="C26" s="8" t="s">
        <v>120</v>
      </c>
      <c r="D26" s="9" t="str">
        <f t="shared" ca="1" si="2"/>
        <v>完了</v>
      </c>
      <c r="E26" s="3">
        <v>42864</v>
      </c>
      <c r="F26" s="3">
        <v>42864</v>
      </c>
      <c r="G26" s="12">
        <v>1</v>
      </c>
      <c r="H26" s="12">
        <v>1</v>
      </c>
      <c r="I26" s="9">
        <f t="shared" ca="1" si="1"/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</row>
    <row r="27" spans="1:14">
      <c r="A27" s="68">
        <v>23</v>
      </c>
      <c r="B27" s="11" t="s">
        <v>173</v>
      </c>
      <c r="C27" s="8" t="s">
        <v>86</v>
      </c>
      <c r="D27" s="9" t="str">
        <f t="shared" ca="1" si="2"/>
        <v>完了</v>
      </c>
      <c r="E27" s="3">
        <v>42871</v>
      </c>
      <c r="F27" s="3">
        <v>42874</v>
      </c>
      <c r="G27" s="12">
        <v>4</v>
      </c>
      <c r="H27" s="12">
        <v>4</v>
      </c>
      <c r="I27" s="9">
        <f t="shared" ca="1" si="1"/>
        <v>0</v>
      </c>
      <c r="J27" s="19">
        <v>4</v>
      </c>
      <c r="K27" s="19">
        <v>4</v>
      </c>
      <c r="L27" s="19">
        <v>4</v>
      </c>
      <c r="M27" s="19">
        <v>4</v>
      </c>
      <c r="N27" s="19">
        <v>0</v>
      </c>
    </row>
    <row r="28" spans="1:14">
      <c r="A28" s="68">
        <v>24</v>
      </c>
      <c r="B28" s="11" t="s">
        <v>174</v>
      </c>
      <c r="C28" s="8" t="s">
        <v>118</v>
      </c>
      <c r="D28" s="9" t="str">
        <f t="shared" ca="1" si="2"/>
        <v>完了</v>
      </c>
      <c r="E28" s="3">
        <v>42871</v>
      </c>
      <c r="F28" s="3">
        <v>42871</v>
      </c>
      <c r="G28" s="12">
        <v>4</v>
      </c>
      <c r="H28" s="12">
        <v>4</v>
      </c>
      <c r="I28" s="9">
        <f t="shared" ca="1" si="1"/>
        <v>0</v>
      </c>
      <c r="J28" s="19">
        <v>4</v>
      </c>
      <c r="K28" s="19">
        <v>4</v>
      </c>
      <c r="L28" s="19">
        <v>4</v>
      </c>
      <c r="M28" s="19">
        <v>4</v>
      </c>
      <c r="N28" s="19">
        <v>0</v>
      </c>
    </row>
    <row r="29" spans="1:14">
      <c r="A29" s="68">
        <v>25</v>
      </c>
      <c r="B29" s="11" t="s">
        <v>175</v>
      </c>
      <c r="C29" s="8" t="s">
        <v>120</v>
      </c>
      <c r="D29" s="9" t="str">
        <f t="shared" ca="1" si="2"/>
        <v>完了</v>
      </c>
      <c r="E29" s="3">
        <v>42867</v>
      </c>
      <c r="F29" s="3">
        <v>42867</v>
      </c>
      <c r="G29" s="12">
        <v>1</v>
      </c>
      <c r="H29" s="12">
        <v>1</v>
      </c>
      <c r="I29" s="9">
        <f t="shared" ca="1" si="1"/>
        <v>0</v>
      </c>
      <c r="J29" s="19">
        <v>1</v>
      </c>
      <c r="K29" s="19">
        <v>0</v>
      </c>
      <c r="L29" s="19">
        <v>0</v>
      </c>
      <c r="M29" s="19">
        <v>0</v>
      </c>
      <c r="N29" s="19">
        <v>0</v>
      </c>
    </row>
    <row r="30" spans="1:14">
      <c r="A30" s="68">
        <v>26</v>
      </c>
      <c r="B30" s="11" t="s">
        <v>176</v>
      </c>
      <c r="C30" s="8" t="s">
        <v>75</v>
      </c>
      <c r="D30" s="9" t="str">
        <f t="shared" si="2"/>
        <v>未着手</v>
      </c>
      <c r="E30" s="3">
        <v>42874</v>
      </c>
      <c r="F30" s="3"/>
      <c r="G30" s="12">
        <v>0.5</v>
      </c>
      <c r="H30" s="12"/>
      <c r="I30" s="9">
        <f t="shared" ca="1" si="1"/>
        <v>0</v>
      </c>
      <c r="J30" s="19">
        <v>1</v>
      </c>
      <c r="K30" s="19">
        <v>1</v>
      </c>
      <c r="L30" s="19">
        <v>1</v>
      </c>
      <c r="M30" s="19">
        <v>1</v>
      </c>
      <c r="N30" s="19">
        <v>0</v>
      </c>
    </row>
    <row r="31" spans="1:14">
      <c r="A31" s="68">
        <v>27</v>
      </c>
      <c r="B31" s="11" t="s">
        <v>177</v>
      </c>
      <c r="C31" s="8" t="s">
        <v>120</v>
      </c>
      <c r="D31" s="9" t="str">
        <f t="shared" ca="1" si="2"/>
        <v>完了</v>
      </c>
      <c r="E31" s="3">
        <v>42867</v>
      </c>
      <c r="F31" s="3">
        <v>42867</v>
      </c>
      <c r="G31" s="12">
        <v>1</v>
      </c>
      <c r="H31" s="12">
        <v>1</v>
      </c>
      <c r="I31" s="9">
        <f t="shared" ca="1" si="1"/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</row>
    <row r="32" spans="1:14">
      <c r="A32" s="68">
        <v>28</v>
      </c>
      <c r="B32" s="11" t="s">
        <v>178</v>
      </c>
      <c r="C32" s="8" t="s">
        <v>75</v>
      </c>
      <c r="D32" s="9" t="str">
        <f t="shared" ca="1" si="2"/>
        <v>完了</v>
      </c>
      <c r="E32" s="3">
        <v>42871</v>
      </c>
      <c r="F32" s="3">
        <v>42871</v>
      </c>
      <c r="G32" s="12">
        <v>1</v>
      </c>
      <c r="H32" s="12">
        <v>1</v>
      </c>
      <c r="I32" s="9">
        <f t="shared" ca="1" si="1"/>
        <v>0</v>
      </c>
      <c r="J32" s="19">
        <v>3</v>
      </c>
      <c r="K32" s="19">
        <v>3</v>
      </c>
      <c r="L32" s="19">
        <v>3</v>
      </c>
      <c r="M32" s="19">
        <v>0</v>
      </c>
      <c r="N32" s="19">
        <v>0</v>
      </c>
    </row>
    <row r="33" spans="1:14">
      <c r="A33" s="68">
        <v>29</v>
      </c>
      <c r="B33" s="11" t="s">
        <v>179</v>
      </c>
      <c r="C33" s="8" t="s">
        <v>75</v>
      </c>
      <c r="D33" s="9" t="str">
        <f t="shared" ca="1" si="2"/>
        <v>完了</v>
      </c>
      <c r="E33" s="3">
        <v>42867</v>
      </c>
      <c r="F33" s="3">
        <v>42867</v>
      </c>
      <c r="G33" s="12">
        <v>2</v>
      </c>
      <c r="H33" s="12">
        <v>2</v>
      </c>
      <c r="I33" s="9">
        <f t="shared" ca="1" si="1"/>
        <v>0</v>
      </c>
      <c r="J33" s="19">
        <v>2</v>
      </c>
      <c r="K33" s="19">
        <v>2</v>
      </c>
      <c r="L33" s="19">
        <v>0</v>
      </c>
      <c r="M33" s="19">
        <v>0</v>
      </c>
      <c r="N33" s="19">
        <v>0</v>
      </c>
    </row>
    <row r="34" spans="1:14">
      <c r="A34" s="68">
        <v>30</v>
      </c>
      <c r="B34" s="11" t="s">
        <v>180</v>
      </c>
      <c r="C34" s="8" t="s">
        <v>86</v>
      </c>
      <c r="D34" s="9" t="str">
        <f t="shared" ca="1" si="2"/>
        <v>完了</v>
      </c>
      <c r="E34" s="3">
        <v>42867</v>
      </c>
      <c r="F34" s="3">
        <v>42867</v>
      </c>
      <c r="G34" s="12">
        <v>1</v>
      </c>
      <c r="H34" s="12">
        <v>1</v>
      </c>
      <c r="I34" s="9">
        <f t="shared" ca="1" si="1"/>
        <v>0</v>
      </c>
      <c r="J34" s="19">
        <v>3</v>
      </c>
      <c r="K34" s="19">
        <v>0</v>
      </c>
      <c r="L34" s="19">
        <v>0</v>
      </c>
      <c r="M34" s="19">
        <v>0</v>
      </c>
      <c r="N34" s="19">
        <v>0</v>
      </c>
    </row>
    <row r="35" spans="1:14">
      <c r="A35" s="68">
        <v>31</v>
      </c>
      <c r="B35" s="11" t="s">
        <v>181</v>
      </c>
      <c r="C35" s="8" t="s">
        <v>86</v>
      </c>
      <c r="D35" s="9" t="str">
        <f t="shared" ca="1" si="2"/>
        <v>完了</v>
      </c>
      <c r="E35" s="3">
        <v>42867</v>
      </c>
      <c r="F35" s="3">
        <v>42867</v>
      </c>
      <c r="G35" s="12">
        <v>2</v>
      </c>
      <c r="H35" s="12">
        <v>2</v>
      </c>
      <c r="I35" s="9">
        <f t="shared" ca="1" si="1"/>
        <v>0</v>
      </c>
      <c r="J35" s="19">
        <v>2</v>
      </c>
      <c r="K35" s="19">
        <v>0</v>
      </c>
      <c r="L35" s="19">
        <v>0</v>
      </c>
      <c r="M35" s="19">
        <v>0</v>
      </c>
      <c r="N35" s="19">
        <v>0</v>
      </c>
    </row>
    <row r="36" spans="1:14">
      <c r="A36" s="68">
        <v>32</v>
      </c>
      <c r="B36" s="11" t="s">
        <v>182</v>
      </c>
      <c r="C36" s="8" t="s">
        <v>75</v>
      </c>
      <c r="D36" s="9" t="str">
        <f t="shared" ca="1" si="2"/>
        <v>完了</v>
      </c>
      <c r="E36" s="3">
        <v>42867</v>
      </c>
      <c r="F36" s="3">
        <v>42867</v>
      </c>
      <c r="G36" s="12">
        <v>1</v>
      </c>
      <c r="H36" s="12">
        <v>1</v>
      </c>
      <c r="I36" s="9">
        <f t="shared" ca="1" si="1"/>
        <v>0</v>
      </c>
      <c r="J36" s="19">
        <v>1</v>
      </c>
      <c r="K36" s="19">
        <v>0</v>
      </c>
      <c r="L36" s="19">
        <v>0</v>
      </c>
      <c r="M36" s="19">
        <v>0</v>
      </c>
      <c r="N36" s="19">
        <v>0</v>
      </c>
    </row>
    <row r="37" spans="1:14">
      <c r="A37" s="68">
        <v>33</v>
      </c>
      <c r="B37" s="11" t="s">
        <v>183</v>
      </c>
      <c r="C37" s="8" t="s">
        <v>75</v>
      </c>
      <c r="D37" s="9" t="str">
        <f t="shared" ref="D37:D68" ca="1" si="3">IF(ISBLANK($B37),"",IF(ISBLANK($F37),"未着手",IF($I37=0,"完了","作業中")))</f>
        <v>完了</v>
      </c>
      <c r="E37" s="3">
        <v>42867</v>
      </c>
      <c r="F37" s="3">
        <v>42867</v>
      </c>
      <c r="G37" s="12">
        <v>1</v>
      </c>
      <c r="H37" s="12">
        <v>1</v>
      </c>
      <c r="I37" s="9">
        <f t="shared" ref="I37:I68" ca="1" si="4">IF(ISBLANK(J37)=FALSE,OFFSET(I37,0,COUNTA(J37:N37)),"")</f>
        <v>0</v>
      </c>
      <c r="J37" s="19">
        <v>1</v>
      </c>
      <c r="K37" s="19">
        <v>0</v>
      </c>
      <c r="L37" s="19">
        <v>0</v>
      </c>
      <c r="M37" s="19">
        <v>0</v>
      </c>
      <c r="N37" s="19">
        <v>0</v>
      </c>
    </row>
    <row r="38" spans="1:14">
      <c r="A38" s="68">
        <v>34</v>
      </c>
      <c r="B38" s="11" t="s">
        <v>184</v>
      </c>
      <c r="C38" s="8" t="s">
        <v>75</v>
      </c>
      <c r="D38" s="9" t="str">
        <f t="shared" ca="1" si="3"/>
        <v>完了</v>
      </c>
      <c r="E38" s="3">
        <v>42867</v>
      </c>
      <c r="F38" s="3">
        <v>42867</v>
      </c>
      <c r="G38" s="12">
        <v>1</v>
      </c>
      <c r="H38" s="12">
        <v>1</v>
      </c>
      <c r="I38" s="9">
        <f t="shared" ca="1" si="4"/>
        <v>0</v>
      </c>
      <c r="J38" s="19">
        <v>1</v>
      </c>
      <c r="K38" s="19">
        <v>0</v>
      </c>
      <c r="L38" s="19">
        <v>0</v>
      </c>
      <c r="M38" s="19">
        <v>0</v>
      </c>
      <c r="N38" s="19">
        <v>0</v>
      </c>
    </row>
    <row r="39" spans="1:14">
      <c r="A39" s="68">
        <v>35</v>
      </c>
      <c r="B39" s="11" t="s">
        <v>185</v>
      </c>
      <c r="C39" s="8" t="s">
        <v>75</v>
      </c>
      <c r="D39" s="9" t="str">
        <f t="shared" ca="1" si="3"/>
        <v>完了</v>
      </c>
      <c r="E39" s="3">
        <v>42867</v>
      </c>
      <c r="F39" s="3">
        <v>42867</v>
      </c>
      <c r="G39" s="12">
        <v>1</v>
      </c>
      <c r="H39" s="12">
        <v>1</v>
      </c>
      <c r="I39" s="9">
        <f t="shared" ca="1" si="4"/>
        <v>0</v>
      </c>
      <c r="J39" s="19">
        <v>1</v>
      </c>
      <c r="K39" s="19">
        <v>0</v>
      </c>
      <c r="L39" s="19">
        <v>0</v>
      </c>
      <c r="M39" s="19">
        <v>0</v>
      </c>
      <c r="N39" s="19">
        <v>0</v>
      </c>
    </row>
    <row r="40" spans="1:14">
      <c r="A40" s="68">
        <v>36</v>
      </c>
      <c r="B40" s="11" t="s">
        <v>186</v>
      </c>
      <c r="C40" s="8" t="s">
        <v>86</v>
      </c>
      <c r="D40" s="9" t="str">
        <f t="shared" ca="1" si="3"/>
        <v>完了</v>
      </c>
      <c r="E40" s="3">
        <v>42867</v>
      </c>
      <c r="F40" s="3">
        <v>42867</v>
      </c>
      <c r="G40" s="12">
        <v>4</v>
      </c>
      <c r="H40" s="12">
        <v>4</v>
      </c>
      <c r="I40" s="9">
        <f t="shared" ca="1" si="4"/>
        <v>0</v>
      </c>
      <c r="J40" s="19">
        <v>4</v>
      </c>
      <c r="K40" s="19">
        <v>4</v>
      </c>
      <c r="L40" s="19">
        <v>0</v>
      </c>
      <c r="M40" s="19">
        <v>0</v>
      </c>
      <c r="N40" s="19">
        <v>0</v>
      </c>
    </row>
    <row r="41" spans="1:14">
      <c r="A41" s="68">
        <v>37</v>
      </c>
      <c r="B41" s="11" t="s">
        <v>187</v>
      </c>
      <c r="C41" s="8" t="s">
        <v>75</v>
      </c>
      <c r="D41" s="9" t="str">
        <f t="shared" ca="1" si="3"/>
        <v>完了</v>
      </c>
      <c r="E41" s="3">
        <v>42871</v>
      </c>
      <c r="F41" s="3">
        <v>42871</v>
      </c>
      <c r="G41" s="12">
        <v>1</v>
      </c>
      <c r="H41" s="12">
        <v>1</v>
      </c>
      <c r="I41" s="9">
        <f t="shared" ca="1" si="4"/>
        <v>0</v>
      </c>
      <c r="J41" s="19">
        <v>1</v>
      </c>
      <c r="K41" s="19">
        <v>1</v>
      </c>
      <c r="L41" s="19">
        <v>0</v>
      </c>
      <c r="M41" s="19">
        <v>0</v>
      </c>
      <c r="N41" s="19">
        <v>0</v>
      </c>
    </row>
    <row r="42" spans="1:14">
      <c r="A42" s="68">
        <v>38</v>
      </c>
      <c r="B42" s="11" t="s">
        <v>188</v>
      </c>
      <c r="C42" s="8" t="s">
        <v>75</v>
      </c>
      <c r="D42" s="9" t="str">
        <f t="shared" ca="1" si="3"/>
        <v>完了</v>
      </c>
      <c r="E42" s="3">
        <v>42878</v>
      </c>
      <c r="F42" s="3">
        <v>42879</v>
      </c>
      <c r="G42" s="12">
        <v>3</v>
      </c>
      <c r="H42" s="12">
        <v>3</v>
      </c>
      <c r="I42" s="9">
        <f t="shared" ca="1" si="4"/>
        <v>0</v>
      </c>
      <c r="J42" s="19">
        <v>3</v>
      </c>
      <c r="K42" s="19">
        <v>3</v>
      </c>
      <c r="L42" s="19">
        <v>3</v>
      </c>
      <c r="M42" s="19">
        <v>3</v>
      </c>
      <c r="N42" s="19">
        <v>0</v>
      </c>
    </row>
    <row r="43" spans="1:14">
      <c r="A43" s="68">
        <v>39</v>
      </c>
      <c r="B43" s="11" t="s">
        <v>189</v>
      </c>
      <c r="C43" s="8" t="s">
        <v>75</v>
      </c>
      <c r="D43" s="9" t="str">
        <f t="shared" ca="1" si="3"/>
        <v>完了</v>
      </c>
      <c r="E43" s="3">
        <v>42871</v>
      </c>
      <c r="F43" s="3">
        <v>42871</v>
      </c>
      <c r="G43" s="12">
        <v>1</v>
      </c>
      <c r="H43" s="12">
        <v>1</v>
      </c>
      <c r="I43" s="9">
        <f t="shared" ca="1" si="4"/>
        <v>0</v>
      </c>
      <c r="J43" s="19">
        <v>1</v>
      </c>
      <c r="K43" s="19">
        <v>1</v>
      </c>
      <c r="L43" s="19">
        <v>1</v>
      </c>
      <c r="M43" s="19">
        <v>0</v>
      </c>
      <c r="N43" s="19">
        <v>0</v>
      </c>
    </row>
    <row r="44" spans="1:14">
      <c r="A44" s="68">
        <v>40</v>
      </c>
      <c r="B44" s="11" t="s">
        <v>190</v>
      </c>
      <c r="C44" s="8" t="s">
        <v>120</v>
      </c>
      <c r="D44" s="9" t="str">
        <f t="shared" ca="1" si="3"/>
        <v>完了</v>
      </c>
      <c r="E44" s="3">
        <v>42871</v>
      </c>
      <c r="F44" s="3">
        <v>42871</v>
      </c>
      <c r="G44" s="12">
        <v>2</v>
      </c>
      <c r="H44" s="12">
        <v>2</v>
      </c>
      <c r="I44" s="9">
        <f t="shared" ca="1" si="4"/>
        <v>0</v>
      </c>
      <c r="J44" s="19">
        <v>2</v>
      </c>
      <c r="K44" s="19">
        <v>2</v>
      </c>
      <c r="L44" s="19">
        <v>2</v>
      </c>
      <c r="M44" s="19">
        <v>0</v>
      </c>
      <c r="N44" s="19">
        <v>0</v>
      </c>
    </row>
    <row r="45" spans="1:14">
      <c r="A45" s="68">
        <v>41</v>
      </c>
      <c r="B45" s="11" t="s">
        <v>191</v>
      </c>
      <c r="C45" s="8" t="s">
        <v>120</v>
      </c>
      <c r="D45" s="9" t="str">
        <f t="shared" ca="1" si="3"/>
        <v>完了</v>
      </c>
      <c r="E45" s="3">
        <v>42871</v>
      </c>
      <c r="F45" s="3">
        <v>42871</v>
      </c>
      <c r="G45" s="12">
        <v>2</v>
      </c>
      <c r="H45" s="12">
        <v>2</v>
      </c>
      <c r="I45" s="9">
        <f t="shared" ca="1" si="4"/>
        <v>0</v>
      </c>
      <c r="J45" s="19">
        <v>2</v>
      </c>
      <c r="K45" s="19">
        <v>2</v>
      </c>
      <c r="L45" s="19">
        <v>2</v>
      </c>
      <c r="M45" s="19">
        <v>0</v>
      </c>
      <c r="N45" s="19">
        <v>0</v>
      </c>
    </row>
    <row r="46" spans="1:14">
      <c r="A46" s="68">
        <v>42</v>
      </c>
      <c r="B46" s="11" t="s">
        <v>192</v>
      </c>
      <c r="C46" s="8" t="s">
        <v>120</v>
      </c>
      <c r="D46" s="9" t="str">
        <f t="shared" ca="1" si="3"/>
        <v>完了</v>
      </c>
      <c r="E46" s="3">
        <v>42871</v>
      </c>
      <c r="F46" s="3">
        <v>42871</v>
      </c>
      <c r="G46" s="12">
        <v>1</v>
      </c>
      <c r="H46" s="12">
        <v>1</v>
      </c>
      <c r="I46" s="9">
        <f t="shared" ca="1" si="4"/>
        <v>0</v>
      </c>
      <c r="J46" s="19">
        <v>1</v>
      </c>
      <c r="K46" s="19">
        <v>1</v>
      </c>
      <c r="L46" s="19">
        <v>1</v>
      </c>
      <c r="M46" s="19">
        <v>0</v>
      </c>
      <c r="N46" s="19">
        <v>0</v>
      </c>
    </row>
    <row r="47" spans="1:14">
      <c r="A47" s="68">
        <v>43</v>
      </c>
      <c r="B47" s="11" t="s">
        <v>193</v>
      </c>
      <c r="C47" s="8" t="s">
        <v>120</v>
      </c>
      <c r="D47" s="9" t="str">
        <f t="shared" ca="1" si="3"/>
        <v>完了</v>
      </c>
      <c r="E47" s="3">
        <v>42871</v>
      </c>
      <c r="F47" s="3">
        <v>42871</v>
      </c>
      <c r="G47" s="12">
        <v>1</v>
      </c>
      <c r="H47" s="12">
        <v>1</v>
      </c>
      <c r="I47" s="9">
        <f t="shared" ca="1" si="4"/>
        <v>0</v>
      </c>
      <c r="J47" s="19">
        <v>1</v>
      </c>
      <c r="K47" s="19">
        <v>1</v>
      </c>
      <c r="L47" s="19">
        <v>1</v>
      </c>
      <c r="M47" s="19">
        <v>0</v>
      </c>
      <c r="N47" s="19">
        <v>0</v>
      </c>
    </row>
    <row r="48" spans="1:14">
      <c r="A48" s="68">
        <v>44</v>
      </c>
      <c r="B48" s="11" t="s">
        <v>194</v>
      </c>
      <c r="C48" s="8" t="s">
        <v>86</v>
      </c>
      <c r="D48" s="9" t="str">
        <f t="shared" ca="1" si="3"/>
        <v>完了</v>
      </c>
      <c r="E48" s="3">
        <v>42871</v>
      </c>
      <c r="F48" s="3">
        <v>42871</v>
      </c>
      <c r="G48" s="12">
        <v>2</v>
      </c>
      <c r="H48" s="12">
        <v>2</v>
      </c>
      <c r="I48" s="9">
        <f t="shared" ca="1" si="4"/>
        <v>0</v>
      </c>
      <c r="J48" s="19">
        <v>2</v>
      </c>
      <c r="K48" s="19">
        <v>2</v>
      </c>
      <c r="L48" s="19">
        <v>2</v>
      </c>
      <c r="M48" s="19">
        <v>0</v>
      </c>
      <c r="N48" s="19">
        <v>0</v>
      </c>
    </row>
    <row r="49" spans="1:14">
      <c r="A49" s="68">
        <v>45</v>
      </c>
      <c r="B49" s="11" t="s">
        <v>195</v>
      </c>
      <c r="C49" s="8" t="s">
        <v>75</v>
      </c>
      <c r="D49" s="9" t="str">
        <f t="shared" ca="1" si="3"/>
        <v>完了</v>
      </c>
      <c r="E49" s="3">
        <v>42871</v>
      </c>
      <c r="F49" s="3">
        <v>42871</v>
      </c>
      <c r="G49" s="12">
        <v>1</v>
      </c>
      <c r="H49" s="12">
        <v>1</v>
      </c>
      <c r="I49" s="9">
        <f t="shared" ca="1" si="4"/>
        <v>0</v>
      </c>
      <c r="J49" s="19">
        <v>1</v>
      </c>
      <c r="K49" s="19">
        <v>1</v>
      </c>
      <c r="L49" s="19">
        <v>1</v>
      </c>
      <c r="M49" s="19">
        <v>0</v>
      </c>
      <c r="N49" s="19">
        <v>0</v>
      </c>
    </row>
    <row r="50" spans="1:14">
      <c r="A50" s="68">
        <v>46</v>
      </c>
      <c r="B50" s="11" t="s">
        <v>196</v>
      </c>
      <c r="C50" s="8" t="s">
        <v>120</v>
      </c>
      <c r="D50" s="9" t="str">
        <f t="shared" ca="1" si="3"/>
        <v>完了</v>
      </c>
      <c r="E50" s="3">
        <v>42874</v>
      </c>
      <c r="F50" s="3">
        <v>42874</v>
      </c>
      <c r="G50" s="12">
        <v>2</v>
      </c>
      <c r="H50" s="12">
        <v>2</v>
      </c>
      <c r="I50" s="9">
        <f t="shared" ca="1" si="4"/>
        <v>0</v>
      </c>
      <c r="J50" s="19">
        <v>2</v>
      </c>
      <c r="K50" s="19">
        <v>2</v>
      </c>
      <c r="L50" s="19">
        <v>2</v>
      </c>
      <c r="M50" s="19">
        <v>0</v>
      </c>
      <c r="N50" s="19">
        <v>0</v>
      </c>
    </row>
    <row r="51" spans="1:14">
      <c r="A51" s="68">
        <v>47</v>
      </c>
      <c r="B51" s="11" t="s">
        <v>197</v>
      </c>
      <c r="C51" s="8" t="s">
        <v>120</v>
      </c>
      <c r="D51" s="9" t="str">
        <f t="shared" ca="1" si="3"/>
        <v>完了</v>
      </c>
      <c r="E51" s="3">
        <v>42874</v>
      </c>
      <c r="F51" s="3">
        <v>42874</v>
      </c>
      <c r="G51" s="12">
        <v>1</v>
      </c>
      <c r="H51" s="12">
        <v>1</v>
      </c>
      <c r="I51" s="9">
        <f t="shared" ca="1" si="4"/>
        <v>0</v>
      </c>
      <c r="J51" s="19">
        <v>1</v>
      </c>
      <c r="K51" s="19">
        <v>1</v>
      </c>
      <c r="L51" s="19">
        <v>1</v>
      </c>
      <c r="M51" s="19">
        <v>0</v>
      </c>
      <c r="N51" s="19">
        <v>0</v>
      </c>
    </row>
    <row r="52" spans="1:14">
      <c r="A52" s="68">
        <v>48</v>
      </c>
      <c r="B52" s="11" t="s">
        <v>198</v>
      </c>
      <c r="C52" s="8" t="s">
        <v>120</v>
      </c>
      <c r="D52" s="9" t="str">
        <f t="shared" ca="1" si="3"/>
        <v>完了</v>
      </c>
      <c r="E52" s="3">
        <v>42874</v>
      </c>
      <c r="F52" s="3">
        <v>42874</v>
      </c>
      <c r="G52" s="12">
        <v>1</v>
      </c>
      <c r="H52" s="12">
        <v>1</v>
      </c>
      <c r="I52" s="9">
        <f t="shared" ca="1" si="4"/>
        <v>0</v>
      </c>
      <c r="J52" s="19">
        <v>1</v>
      </c>
      <c r="K52" s="19">
        <v>1</v>
      </c>
      <c r="L52" s="19">
        <v>1</v>
      </c>
      <c r="M52" s="19">
        <v>0</v>
      </c>
      <c r="N52" s="19">
        <v>0</v>
      </c>
    </row>
    <row r="53" spans="1:14">
      <c r="A53" s="68">
        <v>49</v>
      </c>
      <c r="B53" s="11" t="s">
        <v>199</v>
      </c>
      <c r="C53" s="8" t="s">
        <v>120</v>
      </c>
      <c r="D53" s="9" t="str">
        <f t="shared" ca="1" si="3"/>
        <v>作業中</v>
      </c>
      <c r="E53" s="3">
        <v>42874</v>
      </c>
      <c r="F53" s="3">
        <v>42874</v>
      </c>
      <c r="G53" s="12">
        <v>1</v>
      </c>
      <c r="H53" s="12">
        <v>1</v>
      </c>
      <c r="I53" s="9">
        <f t="shared" ca="1" si="4"/>
        <v>1</v>
      </c>
      <c r="J53" s="19">
        <v>1</v>
      </c>
      <c r="K53" s="19">
        <v>1</v>
      </c>
      <c r="L53" s="19">
        <v>1</v>
      </c>
      <c r="M53" s="19">
        <v>1</v>
      </c>
      <c r="N53" s="19">
        <v>1</v>
      </c>
    </row>
    <row r="54" spans="1:14">
      <c r="A54" s="68">
        <v>50</v>
      </c>
      <c r="B54" s="11" t="s">
        <v>200</v>
      </c>
      <c r="C54" s="8" t="s">
        <v>75</v>
      </c>
      <c r="D54" s="9" t="str">
        <f t="shared" si="3"/>
        <v>未着手</v>
      </c>
      <c r="E54" s="3">
        <v>42878</v>
      </c>
      <c r="F54" s="3"/>
      <c r="G54" s="12">
        <v>3</v>
      </c>
      <c r="H54" s="12"/>
      <c r="I54" s="9">
        <f t="shared" ca="1" si="4"/>
        <v>3</v>
      </c>
      <c r="J54" s="19">
        <v>3</v>
      </c>
      <c r="K54" s="19">
        <v>3</v>
      </c>
      <c r="L54" s="19">
        <v>3</v>
      </c>
      <c r="M54" s="19">
        <v>3</v>
      </c>
      <c r="N54" s="19">
        <v>3</v>
      </c>
    </row>
    <row r="55" spans="1:14">
      <c r="A55" s="68">
        <v>51</v>
      </c>
      <c r="B55" s="11" t="s">
        <v>201</v>
      </c>
      <c r="C55" s="8" t="s">
        <v>86</v>
      </c>
      <c r="D55" s="9" t="str">
        <f t="shared" si="3"/>
        <v>未着手</v>
      </c>
      <c r="E55" s="3">
        <v>42878</v>
      </c>
      <c r="F55" s="3"/>
      <c r="G55" s="12">
        <v>2</v>
      </c>
      <c r="H55" s="12"/>
      <c r="I55" s="9">
        <f t="shared" ca="1" si="4"/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</row>
    <row r="56" spans="1:14">
      <c r="A56" s="68">
        <v>52</v>
      </c>
      <c r="B56" s="11" t="s">
        <v>202</v>
      </c>
      <c r="C56" s="8" t="s">
        <v>81</v>
      </c>
      <c r="D56" s="9" t="str">
        <f t="shared" ca="1" si="3"/>
        <v>完了</v>
      </c>
      <c r="E56" s="3">
        <v>42874</v>
      </c>
      <c r="F56" s="3">
        <v>42874</v>
      </c>
      <c r="G56" s="12">
        <v>1</v>
      </c>
      <c r="H56" s="12">
        <v>1</v>
      </c>
      <c r="I56" s="9">
        <f t="shared" ca="1" si="4"/>
        <v>0</v>
      </c>
      <c r="J56" s="19">
        <v>1</v>
      </c>
      <c r="K56" s="19">
        <v>1</v>
      </c>
      <c r="L56" s="19">
        <v>1</v>
      </c>
      <c r="M56" s="19">
        <v>0</v>
      </c>
      <c r="N56" s="19">
        <v>0</v>
      </c>
    </row>
    <row r="57" spans="1:14">
      <c r="A57" s="68">
        <v>53</v>
      </c>
      <c r="B57" s="11" t="s">
        <v>203</v>
      </c>
      <c r="C57" s="8" t="s">
        <v>75</v>
      </c>
      <c r="D57" s="9" t="str">
        <f t="shared" ca="1" si="3"/>
        <v>完了</v>
      </c>
      <c r="E57" s="3">
        <v>42874</v>
      </c>
      <c r="F57" s="3">
        <v>42874</v>
      </c>
      <c r="G57" s="12">
        <v>1</v>
      </c>
      <c r="H57" s="12">
        <v>1</v>
      </c>
      <c r="I57" s="9">
        <f t="shared" ca="1" si="4"/>
        <v>0</v>
      </c>
      <c r="J57" s="19">
        <v>1</v>
      </c>
      <c r="K57" s="19">
        <v>1</v>
      </c>
      <c r="L57" s="19">
        <v>1</v>
      </c>
      <c r="M57" s="19">
        <v>0</v>
      </c>
      <c r="N57" s="19">
        <v>0</v>
      </c>
    </row>
    <row r="58" spans="1:14">
      <c r="A58" s="68">
        <v>54</v>
      </c>
      <c r="B58" s="11" t="s">
        <v>204</v>
      </c>
      <c r="C58" s="8" t="s">
        <v>75</v>
      </c>
      <c r="D58" s="9" t="str">
        <f t="shared" ca="1" si="3"/>
        <v>完了</v>
      </c>
      <c r="E58" s="3">
        <v>42874</v>
      </c>
      <c r="F58" s="3">
        <v>42874</v>
      </c>
      <c r="G58" s="12">
        <v>1</v>
      </c>
      <c r="H58" s="12">
        <v>1</v>
      </c>
      <c r="I58" s="9">
        <f t="shared" ca="1" si="4"/>
        <v>0</v>
      </c>
      <c r="J58" s="19">
        <v>1</v>
      </c>
      <c r="K58" s="19">
        <v>1</v>
      </c>
      <c r="L58" s="19">
        <v>1</v>
      </c>
      <c r="M58" s="19">
        <v>0</v>
      </c>
      <c r="N58" s="19">
        <v>0</v>
      </c>
    </row>
    <row r="59" spans="1:14">
      <c r="A59" s="68">
        <v>55</v>
      </c>
      <c r="B59" s="11" t="s">
        <v>205</v>
      </c>
      <c r="C59" s="8" t="s">
        <v>75</v>
      </c>
      <c r="D59" s="9" t="str">
        <f t="shared" ca="1" si="3"/>
        <v>完了</v>
      </c>
      <c r="E59" s="3">
        <v>42874</v>
      </c>
      <c r="F59" s="3">
        <v>42874</v>
      </c>
      <c r="G59" s="12">
        <v>1</v>
      </c>
      <c r="H59" s="12">
        <v>1</v>
      </c>
      <c r="I59" s="9">
        <f t="shared" ca="1" si="4"/>
        <v>0</v>
      </c>
      <c r="J59" s="19">
        <v>1</v>
      </c>
      <c r="K59" s="19">
        <v>1</v>
      </c>
      <c r="L59" s="19">
        <v>1</v>
      </c>
      <c r="M59" s="19">
        <v>0</v>
      </c>
      <c r="N59" s="19">
        <v>0</v>
      </c>
    </row>
    <row r="60" spans="1:14">
      <c r="A60" s="68">
        <v>56</v>
      </c>
      <c r="B60" s="11" t="s">
        <v>206</v>
      </c>
      <c r="C60" s="8" t="s">
        <v>75</v>
      </c>
      <c r="D60" s="9" t="str">
        <f t="shared" ca="1" si="3"/>
        <v>完了</v>
      </c>
      <c r="E60" s="3">
        <v>42874</v>
      </c>
      <c r="F60" s="3">
        <v>42874</v>
      </c>
      <c r="G60" s="12">
        <v>1</v>
      </c>
      <c r="H60" s="12">
        <v>1</v>
      </c>
      <c r="I60" s="9">
        <f t="shared" ca="1" si="4"/>
        <v>0</v>
      </c>
      <c r="J60" s="19">
        <v>1</v>
      </c>
      <c r="K60" s="19">
        <v>1</v>
      </c>
      <c r="L60" s="19">
        <v>1</v>
      </c>
      <c r="M60" s="19">
        <v>0</v>
      </c>
      <c r="N60" s="19">
        <v>0</v>
      </c>
    </row>
    <row r="61" spans="1:14">
      <c r="A61" s="68">
        <v>57</v>
      </c>
      <c r="B61" s="11" t="s">
        <v>207</v>
      </c>
      <c r="C61" s="8" t="s">
        <v>75</v>
      </c>
      <c r="D61" s="9" t="str">
        <f t="shared" ca="1" si="3"/>
        <v>完了</v>
      </c>
      <c r="E61" s="3">
        <v>42874</v>
      </c>
      <c r="F61" s="3">
        <v>42874</v>
      </c>
      <c r="G61" s="12">
        <v>1</v>
      </c>
      <c r="H61" s="12">
        <v>1</v>
      </c>
      <c r="I61" s="9">
        <f t="shared" ca="1" si="4"/>
        <v>0</v>
      </c>
      <c r="J61" s="19">
        <v>1</v>
      </c>
      <c r="K61" s="19">
        <v>1</v>
      </c>
      <c r="L61" s="19">
        <v>1</v>
      </c>
      <c r="M61" s="19">
        <v>0</v>
      </c>
      <c r="N61" s="19">
        <v>0</v>
      </c>
    </row>
    <row r="62" spans="1:14">
      <c r="A62" s="68">
        <v>58</v>
      </c>
      <c r="B62" s="11"/>
      <c r="C62" s="8" t="s">
        <v>208</v>
      </c>
      <c r="D62" s="9" t="str">
        <f t="shared" si="3"/>
        <v/>
      </c>
      <c r="E62" s="3"/>
      <c r="F62" s="3"/>
      <c r="G62" s="12"/>
      <c r="H62" s="12"/>
      <c r="I62" s="9" t="str">
        <f t="shared" ca="1" si="4"/>
        <v/>
      </c>
      <c r="J62" s="19"/>
      <c r="K62" s="19"/>
      <c r="L62" s="19"/>
      <c r="M62" s="19"/>
      <c r="N62" s="19"/>
    </row>
    <row r="63" spans="1:14">
      <c r="A63" s="68">
        <v>59</v>
      </c>
      <c r="B63" s="11"/>
      <c r="C63" s="8" t="s">
        <v>208</v>
      </c>
      <c r="D63" s="9" t="str">
        <f t="shared" si="3"/>
        <v/>
      </c>
      <c r="E63" s="3"/>
      <c r="F63" s="3"/>
      <c r="G63" s="12"/>
      <c r="H63" s="12"/>
      <c r="I63" s="9" t="str">
        <f t="shared" ca="1" si="4"/>
        <v/>
      </c>
      <c r="J63" s="19"/>
      <c r="K63" s="19"/>
      <c r="L63" s="19"/>
      <c r="M63" s="19"/>
      <c r="N63" s="19"/>
    </row>
    <row r="64" spans="1:14">
      <c r="A64" s="68">
        <v>60</v>
      </c>
      <c r="B64" s="11"/>
      <c r="C64" s="8" t="s">
        <v>208</v>
      </c>
      <c r="D64" s="9" t="str">
        <f t="shared" si="3"/>
        <v/>
      </c>
      <c r="E64" s="3"/>
      <c r="F64" s="3"/>
      <c r="G64" s="12"/>
      <c r="H64" s="12"/>
      <c r="I64" s="9" t="str">
        <f t="shared" ca="1" si="4"/>
        <v/>
      </c>
      <c r="J64" s="19"/>
      <c r="K64" s="19"/>
      <c r="L64" s="19"/>
      <c r="M64" s="19"/>
      <c r="N64" s="19"/>
    </row>
    <row r="65" spans="1:14">
      <c r="A65" s="68">
        <v>61</v>
      </c>
      <c r="B65" s="11"/>
      <c r="C65" s="8" t="s">
        <v>208</v>
      </c>
      <c r="D65" s="9" t="str">
        <f t="shared" si="3"/>
        <v/>
      </c>
      <c r="E65" s="3"/>
      <c r="F65" s="3"/>
      <c r="G65" s="12"/>
      <c r="H65" s="12"/>
      <c r="I65" s="9" t="str">
        <f t="shared" ca="1" si="4"/>
        <v/>
      </c>
      <c r="J65" s="19"/>
      <c r="K65" s="19"/>
      <c r="L65" s="19"/>
      <c r="M65" s="19"/>
      <c r="N65" s="19"/>
    </row>
    <row r="66" spans="1:14">
      <c r="A66" s="68">
        <v>62</v>
      </c>
      <c r="B66" s="11"/>
      <c r="C66" s="8" t="s">
        <v>208</v>
      </c>
      <c r="D66" s="9" t="str">
        <f t="shared" si="3"/>
        <v/>
      </c>
      <c r="E66" s="3"/>
      <c r="F66" s="3"/>
      <c r="G66" s="12"/>
      <c r="H66" s="12"/>
      <c r="I66" s="9" t="str">
        <f t="shared" ca="1" si="4"/>
        <v/>
      </c>
      <c r="J66" s="19"/>
      <c r="K66" s="19"/>
      <c r="L66" s="19"/>
      <c r="M66" s="19"/>
      <c r="N66" s="19"/>
    </row>
    <row r="67" spans="1:14">
      <c r="A67" s="68">
        <v>63</v>
      </c>
      <c r="B67" s="11"/>
      <c r="C67" s="8" t="s">
        <v>208</v>
      </c>
      <c r="D67" s="9" t="str">
        <f t="shared" si="3"/>
        <v/>
      </c>
      <c r="E67" s="3"/>
      <c r="F67" s="3"/>
      <c r="G67" s="12"/>
      <c r="H67" s="12"/>
      <c r="I67" s="9" t="str">
        <f t="shared" ca="1" si="4"/>
        <v/>
      </c>
      <c r="J67" s="19"/>
      <c r="K67" s="19"/>
      <c r="L67" s="19"/>
      <c r="M67" s="19"/>
      <c r="N67" s="19"/>
    </row>
    <row r="68" spans="1:14">
      <c r="A68" s="68">
        <v>64</v>
      </c>
      <c r="B68" s="11"/>
      <c r="C68" s="8" t="s">
        <v>208</v>
      </c>
      <c r="D68" s="9" t="str">
        <f t="shared" si="3"/>
        <v/>
      </c>
      <c r="E68" s="3"/>
      <c r="F68" s="3"/>
      <c r="G68" s="12"/>
      <c r="H68" s="12"/>
      <c r="I68" s="9" t="str">
        <f t="shared" ca="1" si="4"/>
        <v/>
      </c>
      <c r="J68" s="19"/>
      <c r="K68" s="19"/>
      <c r="L68" s="19"/>
      <c r="M68" s="19"/>
      <c r="N68" s="19"/>
    </row>
    <row r="69" spans="1:14">
      <c r="A69" s="68">
        <v>65</v>
      </c>
      <c r="B69" s="11"/>
      <c r="C69" s="8" t="s">
        <v>208</v>
      </c>
      <c r="D69" s="9" t="str">
        <f t="shared" ref="D69:D104" si="5">IF(ISBLANK($B69),"",IF(ISBLANK($F69),"未着手",IF($I69=0,"完了","作業中")))</f>
        <v/>
      </c>
      <c r="E69" s="3"/>
      <c r="F69" s="3"/>
      <c r="G69" s="12"/>
      <c r="H69" s="12"/>
      <c r="I69" s="9" t="str">
        <f t="shared" ref="I69:I100" ca="1" si="6">IF(ISBLANK(J69)=FALSE,OFFSET(I69,0,COUNTA(J69:N69)),"")</f>
        <v/>
      </c>
      <c r="J69" s="19"/>
      <c r="K69" s="19"/>
      <c r="L69" s="19"/>
      <c r="M69" s="19"/>
      <c r="N69" s="19"/>
    </row>
    <row r="70" spans="1:14">
      <c r="A70" s="68">
        <v>66</v>
      </c>
      <c r="B70" s="11"/>
      <c r="C70" s="8" t="s">
        <v>208</v>
      </c>
      <c r="D70" s="9" t="str">
        <f t="shared" si="5"/>
        <v/>
      </c>
      <c r="E70" s="3"/>
      <c r="F70" s="3"/>
      <c r="G70" s="12"/>
      <c r="H70" s="12"/>
      <c r="I70" s="9" t="str">
        <f t="shared" ca="1" si="6"/>
        <v/>
      </c>
      <c r="J70" s="19"/>
      <c r="K70" s="19"/>
      <c r="L70" s="19"/>
      <c r="M70" s="19"/>
      <c r="N70" s="19"/>
    </row>
    <row r="71" spans="1:14">
      <c r="A71" s="68">
        <v>67</v>
      </c>
      <c r="B71" s="11"/>
      <c r="C71" s="8" t="s">
        <v>208</v>
      </c>
      <c r="D71" s="9" t="str">
        <f t="shared" si="5"/>
        <v/>
      </c>
      <c r="E71" s="3"/>
      <c r="F71" s="3"/>
      <c r="G71" s="12"/>
      <c r="H71" s="12"/>
      <c r="I71" s="9" t="str">
        <f t="shared" ca="1" si="6"/>
        <v/>
      </c>
      <c r="J71" s="19"/>
      <c r="K71" s="19"/>
      <c r="L71" s="19"/>
      <c r="M71" s="19"/>
      <c r="N71" s="19"/>
    </row>
    <row r="72" spans="1:14">
      <c r="A72" s="68">
        <v>68</v>
      </c>
      <c r="B72" s="11"/>
      <c r="C72" s="8" t="s">
        <v>208</v>
      </c>
      <c r="D72" s="9" t="str">
        <f t="shared" si="5"/>
        <v/>
      </c>
      <c r="E72" s="3"/>
      <c r="F72" s="3"/>
      <c r="G72" s="12"/>
      <c r="H72" s="12"/>
      <c r="I72" s="9" t="str">
        <f t="shared" ca="1" si="6"/>
        <v/>
      </c>
      <c r="J72" s="19"/>
      <c r="K72" s="19"/>
      <c r="L72" s="19"/>
      <c r="M72" s="19"/>
      <c r="N72" s="19"/>
    </row>
    <row r="73" spans="1:14">
      <c r="A73" s="68">
        <v>69</v>
      </c>
      <c r="B73" s="11"/>
      <c r="C73" s="8" t="s">
        <v>208</v>
      </c>
      <c r="D73" s="9" t="str">
        <f t="shared" si="5"/>
        <v/>
      </c>
      <c r="E73" s="3"/>
      <c r="F73" s="3"/>
      <c r="G73" s="12"/>
      <c r="H73" s="12"/>
      <c r="I73" s="9" t="str">
        <f t="shared" ca="1" si="6"/>
        <v/>
      </c>
      <c r="J73" s="19"/>
      <c r="K73" s="19"/>
      <c r="L73" s="19"/>
      <c r="M73" s="19"/>
      <c r="N73" s="19"/>
    </row>
    <row r="74" spans="1:14">
      <c r="A74" s="68">
        <v>70</v>
      </c>
      <c r="B74" s="11"/>
      <c r="C74" s="8" t="s">
        <v>208</v>
      </c>
      <c r="D74" s="9" t="str">
        <f t="shared" si="5"/>
        <v/>
      </c>
      <c r="E74" s="3"/>
      <c r="F74" s="3"/>
      <c r="G74" s="12"/>
      <c r="H74" s="12"/>
      <c r="I74" s="9" t="str">
        <f t="shared" ca="1" si="6"/>
        <v/>
      </c>
      <c r="J74" s="19"/>
      <c r="K74" s="19"/>
      <c r="L74" s="19"/>
      <c r="M74" s="19"/>
      <c r="N74" s="19"/>
    </row>
    <row r="75" spans="1:14">
      <c r="A75" s="68">
        <v>71</v>
      </c>
      <c r="B75" s="11"/>
      <c r="C75" s="8" t="s">
        <v>208</v>
      </c>
      <c r="D75" s="9" t="str">
        <f t="shared" si="5"/>
        <v/>
      </c>
      <c r="E75" s="3"/>
      <c r="F75" s="3"/>
      <c r="G75" s="12"/>
      <c r="H75" s="12"/>
      <c r="I75" s="9" t="str">
        <f t="shared" ca="1" si="6"/>
        <v/>
      </c>
      <c r="J75" s="19"/>
      <c r="K75" s="19"/>
      <c r="L75" s="19"/>
      <c r="M75" s="19"/>
      <c r="N75" s="19"/>
    </row>
    <row r="76" spans="1:14">
      <c r="A76" s="68">
        <v>72</v>
      </c>
      <c r="B76" s="11"/>
      <c r="C76" s="8" t="s">
        <v>208</v>
      </c>
      <c r="D76" s="9" t="str">
        <f t="shared" si="5"/>
        <v/>
      </c>
      <c r="E76" s="3"/>
      <c r="F76" s="3"/>
      <c r="G76" s="12"/>
      <c r="H76" s="12"/>
      <c r="I76" s="9" t="str">
        <f t="shared" ca="1" si="6"/>
        <v/>
      </c>
      <c r="J76" s="19"/>
      <c r="K76" s="19"/>
      <c r="L76" s="19"/>
      <c r="M76" s="19"/>
      <c r="N76" s="19"/>
    </row>
    <row r="77" spans="1:14">
      <c r="A77" s="68">
        <v>73</v>
      </c>
      <c r="B77" s="11"/>
      <c r="C77" s="12"/>
      <c r="D77" s="9" t="str">
        <f t="shared" si="5"/>
        <v/>
      </c>
      <c r="E77" s="3"/>
      <c r="F77" s="3"/>
      <c r="G77" s="12"/>
      <c r="H77" s="12"/>
      <c r="I77" s="9" t="str">
        <f t="shared" ca="1" si="6"/>
        <v/>
      </c>
      <c r="J77" s="19"/>
      <c r="K77" s="19"/>
      <c r="L77" s="19"/>
      <c r="M77" s="19"/>
      <c r="N77" s="19"/>
    </row>
    <row r="78" spans="1:14">
      <c r="A78" s="68">
        <v>74</v>
      </c>
      <c r="B78" s="11"/>
      <c r="C78" s="12"/>
      <c r="D78" s="9" t="str">
        <f t="shared" si="5"/>
        <v/>
      </c>
      <c r="E78" s="3"/>
      <c r="F78" s="3"/>
      <c r="G78" s="12"/>
      <c r="H78" s="12"/>
      <c r="I78" s="9" t="str">
        <f t="shared" ca="1" si="6"/>
        <v/>
      </c>
      <c r="J78" s="19"/>
      <c r="K78" s="19"/>
      <c r="L78" s="19"/>
      <c r="M78" s="19"/>
      <c r="N78" s="19"/>
    </row>
    <row r="79" spans="1:14">
      <c r="A79" s="68">
        <v>75</v>
      </c>
      <c r="B79" s="11"/>
      <c r="C79" s="12"/>
      <c r="D79" s="9" t="str">
        <f t="shared" si="5"/>
        <v/>
      </c>
      <c r="E79" s="3"/>
      <c r="F79" s="3"/>
      <c r="G79" s="12"/>
      <c r="H79" s="12"/>
      <c r="I79" s="9" t="str">
        <f t="shared" ca="1" si="6"/>
        <v/>
      </c>
      <c r="J79" s="19"/>
      <c r="K79" s="19"/>
      <c r="L79" s="19"/>
      <c r="M79" s="19"/>
      <c r="N79" s="19"/>
    </row>
    <row r="80" spans="1:14">
      <c r="A80" s="68">
        <v>76</v>
      </c>
      <c r="B80" s="11"/>
      <c r="C80" s="12"/>
      <c r="D80" s="9" t="str">
        <f t="shared" si="5"/>
        <v/>
      </c>
      <c r="E80" s="3"/>
      <c r="F80" s="3"/>
      <c r="G80" s="12"/>
      <c r="H80" s="12"/>
      <c r="I80" s="9" t="str">
        <f t="shared" ca="1" si="6"/>
        <v/>
      </c>
      <c r="J80" s="19"/>
      <c r="K80" s="19"/>
      <c r="L80" s="19"/>
      <c r="M80" s="19"/>
      <c r="N80" s="19"/>
    </row>
    <row r="81" spans="1:14">
      <c r="A81" s="68">
        <v>77</v>
      </c>
      <c r="B81" s="11"/>
      <c r="C81" s="12"/>
      <c r="D81" s="9" t="str">
        <f t="shared" si="5"/>
        <v/>
      </c>
      <c r="E81" s="3"/>
      <c r="F81" s="3"/>
      <c r="G81" s="12"/>
      <c r="H81" s="12"/>
      <c r="I81" s="9" t="str">
        <f t="shared" ca="1" si="6"/>
        <v/>
      </c>
      <c r="J81" s="19"/>
      <c r="K81" s="19"/>
      <c r="L81" s="19"/>
      <c r="M81" s="19"/>
      <c r="N81" s="19"/>
    </row>
    <row r="82" spans="1:14">
      <c r="A82" s="68">
        <v>78</v>
      </c>
      <c r="B82" s="11"/>
      <c r="C82" s="12"/>
      <c r="D82" s="9" t="str">
        <f t="shared" si="5"/>
        <v/>
      </c>
      <c r="E82" s="3"/>
      <c r="F82" s="3"/>
      <c r="G82" s="12"/>
      <c r="H82" s="12"/>
      <c r="I82" s="9" t="str">
        <f t="shared" ca="1" si="6"/>
        <v/>
      </c>
      <c r="J82" s="19"/>
      <c r="K82" s="19"/>
      <c r="L82" s="19"/>
      <c r="M82" s="19"/>
      <c r="N82" s="19"/>
    </row>
    <row r="83" spans="1:14">
      <c r="A83" s="68">
        <v>79</v>
      </c>
      <c r="B83" s="11"/>
      <c r="C83" s="12"/>
      <c r="D83" s="9" t="str">
        <f t="shared" si="5"/>
        <v/>
      </c>
      <c r="E83" s="3"/>
      <c r="F83" s="3"/>
      <c r="G83" s="12"/>
      <c r="H83" s="12"/>
      <c r="I83" s="9" t="str">
        <f t="shared" ca="1" si="6"/>
        <v/>
      </c>
      <c r="J83" s="19"/>
      <c r="K83" s="19"/>
      <c r="L83" s="19"/>
      <c r="M83" s="19"/>
      <c r="N83" s="19"/>
    </row>
    <row r="84" spans="1:14">
      <c r="A84" s="68">
        <v>80</v>
      </c>
      <c r="B84" s="11"/>
      <c r="C84" s="12"/>
      <c r="D84" s="9" t="str">
        <f t="shared" si="5"/>
        <v/>
      </c>
      <c r="E84" s="3"/>
      <c r="F84" s="3"/>
      <c r="G84" s="12"/>
      <c r="H84" s="12"/>
      <c r="I84" s="9" t="str">
        <f t="shared" ca="1" si="6"/>
        <v/>
      </c>
      <c r="J84" s="19"/>
      <c r="K84" s="19"/>
      <c r="L84" s="19"/>
      <c r="M84" s="19"/>
      <c r="N84" s="19"/>
    </row>
    <row r="85" spans="1:14">
      <c r="A85" s="68">
        <v>81</v>
      </c>
      <c r="B85" s="11"/>
      <c r="C85" s="12"/>
      <c r="D85" s="9" t="str">
        <f t="shared" si="5"/>
        <v/>
      </c>
      <c r="E85" s="3"/>
      <c r="F85" s="3"/>
      <c r="G85" s="12"/>
      <c r="H85" s="12"/>
      <c r="I85" s="9" t="str">
        <f t="shared" ca="1" si="6"/>
        <v/>
      </c>
      <c r="J85" s="19"/>
      <c r="K85" s="19"/>
      <c r="L85" s="19"/>
      <c r="M85" s="19"/>
      <c r="N85" s="19"/>
    </row>
    <row r="86" spans="1:14">
      <c r="A86" s="68">
        <v>82</v>
      </c>
      <c r="B86" s="11"/>
      <c r="C86" s="12"/>
      <c r="D86" s="9" t="str">
        <f t="shared" si="5"/>
        <v/>
      </c>
      <c r="E86" s="3"/>
      <c r="F86" s="3"/>
      <c r="G86" s="12"/>
      <c r="H86" s="12"/>
      <c r="I86" s="9" t="str">
        <f t="shared" ca="1" si="6"/>
        <v/>
      </c>
      <c r="J86" s="19"/>
      <c r="K86" s="19"/>
      <c r="L86" s="19"/>
      <c r="M86" s="19"/>
      <c r="N86" s="19"/>
    </row>
    <row r="87" spans="1:14">
      <c r="A87" s="68">
        <v>83</v>
      </c>
      <c r="B87" s="11"/>
      <c r="C87" s="12"/>
      <c r="D87" s="9" t="str">
        <f t="shared" si="5"/>
        <v/>
      </c>
      <c r="E87" s="3"/>
      <c r="F87" s="3"/>
      <c r="G87" s="12"/>
      <c r="H87" s="12"/>
      <c r="I87" s="9" t="str">
        <f t="shared" ca="1" si="6"/>
        <v/>
      </c>
      <c r="J87" s="19"/>
      <c r="K87" s="19"/>
      <c r="L87" s="19"/>
      <c r="M87" s="19"/>
      <c r="N87" s="19"/>
    </row>
    <row r="88" spans="1:14">
      <c r="A88" s="68">
        <v>84</v>
      </c>
      <c r="B88" s="11"/>
      <c r="C88" s="12"/>
      <c r="D88" s="9" t="str">
        <f t="shared" si="5"/>
        <v/>
      </c>
      <c r="E88" s="3"/>
      <c r="F88" s="3"/>
      <c r="G88" s="12"/>
      <c r="H88" s="12"/>
      <c r="I88" s="9" t="str">
        <f t="shared" ca="1" si="6"/>
        <v/>
      </c>
      <c r="J88" s="19"/>
      <c r="K88" s="19"/>
      <c r="L88" s="19"/>
      <c r="M88" s="19"/>
      <c r="N88" s="19"/>
    </row>
    <row r="89" spans="1:14">
      <c r="A89" s="68">
        <v>85</v>
      </c>
      <c r="B89" s="11"/>
      <c r="C89" s="12"/>
      <c r="D89" s="9" t="str">
        <f t="shared" si="5"/>
        <v/>
      </c>
      <c r="E89" s="3"/>
      <c r="F89" s="3"/>
      <c r="G89" s="12"/>
      <c r="H89" s="12"/>
      <c r="I89" s="9" t="str">
        <f t="shared" ca="1" si="6"/>
        <v/>
      </c>
      <c r="J89" s="19"/>
      <c r="K89" s="19"/>
      <c r="L89" s="19"/>
      <c r="M89" s="19"/>
      <c r="N89" s="19"/>
    </row>
    <row r="90" spans="1:14">
      <c r="A90" s="68">
        <v>86</v>
      </c>
      <c r="B90" s="11"/>
      <c r="C90" s="12"/>
      <c r="D90" s="9" t="str">
        <f t="shared" si="5"/>
        <v/>
      </c>
      <c r="E90" s="3"/>
      <c r="F90" s="3"/>
      <c r="G90" s="12"/>
      <c r="H90" s="12"/>
      <c r="I90" s="9" t="str">
        <f t="shared" ca="1" si="6"/>
        <v/>
      </c>
      <c r="J90" s="19"/>
      <c r="K90" s="19"/>
      <c r="L90" s="19"/>
      <c r="M90" s="19"/>
      <c r="N90" s="19"/>
    </row>
    <row r="91" spans="1:14">
      <c r="A91" s="68">
        <v>87</v>
      </c>
      <c r="B91" s="11"/>
      <c r="C91" s="12"/>
      <c r="D91" s="9" t="str">
        <f t="shared" si="5"/>
        <v/>
      </c>
      <c r="E91" s="3"/>
      <c r="F91" s="3"/>
      <c r="G91" s="12"/>
      <c r="H91" s="12"/>
      <c r="I91" s="9" t="str">
        <f t="shared" ca="1" si="6"/>
        <v/>
      </c>
      <c r="J91" s="19"/>
      <c r="K91" s="19"/>
      <c r="L91" s="19"/>
      <c r="M91" s="19"/>
      <c r="N91" s="19"/>
    </row>
    <row r="92" spans="1:14">
      <c r="A92" s="68">
        <v>88</v>
      </c>
      <c r="B92" s="11"/>
      <c r="C92" s="12"/>
      <c r="D92" s="9" t="str">
        <f t="shared" si="5"/>
        <v/>
      </c>
      <c r="E92" s="3"/>
      <c r="F92" s="3"/>
      <c r="G92" s="12"/>
      <c r="H92" s="12"/>
      <c r="I92" s="9" t="str">
        <f t="shared" ca="1" si="6"/>
        <v/>
      </c>
      <c r="J92" s="19"/>
      <c r="K92" s="19"/>
      <c r="L92" s="19"/>
      <c r="M92" s="19"/>
      <c r="N92" s="19"/>
    </row>
    <row r="93" spans="1:14">
      <c r="A93" s="68">
        <v>89</v>
      </c>
      <c r="B93" s="11"/>
      <c r="C93" s="12"/>
      <c r="D93" s="9" t="str">
        <f t="shared" si="5"/>
        <v/>
      </c>
      <c r="E93" s="3"/>
      <c r="F93" s="3"/>
      <c r="G93" s="12"/>
      <c r="H93" s="12"/>
      <c r="I93" s="9" t="str">
        <f t="shared" ca="1" si="6"/>
        <v/>
      </c>
      <c r="J93" s="19"/>
      <c r="K93" s="19"/>
      <c r="L93" s="19"/>
      <c r="M93" s="19"/>
      <c r="N93" s="19"/>
    </row>
    <row r="94" spans="1:14">
      <c r="A94" s="68">
        <v>90</v>
      </c>
      <c r="B94" s="11"/>
      <c r="C94" s="12"/>
      <c r="D94" s="9" t="str">
        <f t="shared" si="5"/>
        <v/>
      </c>
      <c r="E94" s="3"/>
      <c r="F94" s="3"/>
      <c r="G94" s="12"/>
      <c r="H94" s="12"/>
      <c r="I94" s="9" t="str">
        <f t="shared" ca="1" si="6"/>
        <v/>
      </c>
      <c r="J94" s="19"/>
      <c r="K94" s="19"/>
      <c r="L94" s="19"/>
      <c r="M94" s="19"/>
      <c r="N94" s="19"/>
    </row>
    <row r="95" spans="1:14">
      <c r="A95" s="68">
        <v>91</v>
      </c>
      <c r="B95" s="11"/>
      <c r="C95" s="12"/>
      <c r="D95" s="9" t="str">
        <f t="shared" si="5"/>
        <v/>
      </c>
      <c r="E95" s="3"/>
      <c r="F95" s="3"/>
      <c r="G95" s="12"/>
      <c r="H95" s="12"/>
      <c r="I95" s="9" t="str">
        <f t="shared" ca="1" si="6"/>
        <v/>
      </c>
      <c r="J95" s="19"/>
      <c r="K95" s="19"/>
      <c r="L95" s="19"/>
      <c r="M95" s="19"/>
      <c r="N95" s="19"/>
    </row>
    <row r="96" spans="1:14">
      <c r="A96" s="68">
        <v>92</v>
      </c>
      <c r="B96" s="11"/>
      <c r="C96" s="12"/>
      <c r="D96" s="9" t="str">
        <f t="shared" si="5"/>
        <v/>
      </c>
      <c r="E96" s="3"/>
      <c r="F96" s="3"/>
      <c r="G96" s="12"/>
      <c r="H96" s="12"/>
      <c r="I96" s="9" t="str">
        <f t="shared" ca="1" si="6"/>
        <v/>
      </c>
      <c r="J96" s="19"/>
      <c r="K96" s="19"/>
      <c r="L96" s="19"/>
      <c r="M96" s="19"/>
      <c r="N96" s="19"/>
    </row>
    <row r="97" spans="1:21">
      <c r="A97" s="68">
        <v>93</v>
      </c>
      <c r="B97" s="11"/>
      <c r="C97" s="12"/>
      <c r="D97" s="9" t="str">
        <f t="shared" si="5"/>
        <v/>
      </c>
      <c r="E97" s="3"/>
      <c r="F97" s="3"/>
      <c r="G97" s="12"/>
      <c r="H97" s="12"/>
      <c r="I97" s="9" t="str">
        <f t="shared" ca="1" si="6"/>
        <v/>
      </c>
      <c r="J97" s="19"/>
      <c r="K97" s="19"/>
      <c r="L97" s="19"/>
      <c r="M97" s="19"/>
      <c r="N97" s="19"/>
    </row>
    <row r="98" spans="1:21">
      <c r="A98" s="68">
        <v>94</v>
      </c>
      <c r="B98" s="11"/>
      <c r="C98" s="12"/>
      <c r="D98" s="9" t="str">
        <f t="shared" si="5"/>
        <v/>
      </c>
      <c r="E98" s="3"/>
      <c r="F98" s="3"/>
      <c r="G98" s="12"/>
      <c r="H98" s="12"/>
      <c r="I98" s="9" t="str">
        <f t="shared" ca="1" si="6"/>
        <v/>
      </c>
      <c r="J98" s="19"/>
      <c r="K98" s="19"/>
      <c r="L98" s="19"/>
      <c r="M98" s="19"/>
      <c r="N98" s="19"/>
    </row>
    <row r="99" spans="1:21">
      <c r="A99" s="68">
        <v>95</v>
      </c>
      <c r="B99" s="11"/>
      <c r="C99" s="12"/>
      <c r="D99" s="9" t="str">
        <f t="shared" si="5"/>
        <v/>
      </c>
      <c r="E99" s="3"/>
      <c r="F99" s="3"/>
      <c r="G99" s="12"/>
      <c r="H99" s="12"/>
      <c r="I99" s="9" t="str">
        <f t="shared" ca="1" si="6"/>
        <v/>
      </c>
      <c r="J99" s="19"/>
      <c r="K99" s="19"/>
      <c r="L99" s="19"/>
      <c r="M99" s="19"/>
      <c r="N99" s="19"/>
    </row>
    <row r="100" spans="1:21">
      <c r="A100" s="68">
        <v>96</v>
      </c>
      <c r="B100" s="11"/>
      <c r="C100" s="12"/>
      <c r="D100" s="9" t="str">
        <f t="shared" si="5"/>
        <v/>
      </c>
      <c r="E100" s="3"/>
      <c r="F100" s="3"/>
      <c r="G100" s="12"/>
      <c r="H100" s="12"/>
      <c r="I100" s="9" t="str">
        <f t="shared" ca="1" si="6"/>
        <v/>
      </c>
      <c r="J100" s="19"/>
      <c r="K100" s="19"/>
      <c r="L100" s="19"/>
      <c r="M100" s="19"/>
      <c r="N100" s="19"/>
    </row>
    <row r="101" spans="1:21">
      <c r="A101" s="68">
        <v>97</v>
      </c>
      <c r="B101" s="11"/>
      <c r="C101" s="12"/>
      <c r="D101" s="9" t="str">
        <f t="shared" si="5"/>
        <v/>
      </c>
      <c r="E101" s="3"/>
      <c r="F101" s="3"/>
      <c r="G101" s="12"/>
      <c r="H101" s="12"/>
      <c r="I101" s="9" t="str">
        <f ca="1">IF(ISBLANK(J101)=FALSE,OFFSET(I101,0,COUNTA(J101:N101)),"")</f>
        <v/>
      </c>
      <c r="J101" s="19"/>
      <c r="K101" s="19"/>
      <c r="L101" s="19"/>
      <c r="M101" s="19"/>
      <c r="N101" s="19"/>
    </row>
    <row r="102" spans="1:21">
      <c r="A102" s="68">
        <v>98</v>
      </c>
      <c r="B102" s="11"/>
      <c r="C102" s="12"/>
      <c r="D102" s="9" t="str">
        <f t="shared" si="5"/>
        <v/>
      </c>
      <c r="E102" s="3"/>
      <c r="F102" s="3"/>
      <c r="G102" s="12"/>
      <c r="H102" s="12"/>
      <c r="I102" s="9" t="str">
        <f ca="1">IF(ISBLANK(J102)=FALSE,OFFSET(I102,0,COUNTA(J102:N102)),"")</f>
        <v/>
      </c>
      <c r="J102" s="19"/>
      <c r="K102" s="19"/>
      <c r="L102" s="19"/>
      <c r="M102" s="19"/>
      <c r="N102" s="19"/>
    </row>
    <row r="103" spans="1:21">
      <c r="A103" s="68">
        <v>99</v>
      </c>
      <c r="B103" s="11"/>
      <c r="C103" s="12"/>
      <c r="D103" s="9" t="str">
        <f t="shared" si="5"/>
        <v/>
      </c>
      <c r="E103" s="3"/>
      <c r="F103" s="3"/>
      <c r="G103" s="12"/>
      <c r="H103" s="12"/>
      <c r="I103" s="9" t="str">
        <f ca="1">IF(ISBLANK(J103)=FALSE,OFFSET(I103,0,COUNTA(J103:N103)),"")</f>
        <v/>
      </c>
      <c r="J103" s="19"/>
      <c r="K103" s="19"/>
      <c r="L103" s="19"/>
      <c r="M103" s="19"/>
      <c r="N103" s="19"/>
    </row>
    <row r="104" spans="1:21">
      <c r="A104" s="68">
        <v>100</v>
      </c>
      <c r="B104" s="11"/>
      <c r="C104" s="12"/>
      <c r="D104" s="9" t="str">
        <f t="shared" si="5"/>
        <v/>
      </c>
      <c r="E104" s="3"/>
      <c r="F104" s="3"/>
      <c r="G104" s="12"/>
      <c r="H104" s="12"/>
      <c r="I104" s="9" t="str">
        <f ca="1">IF(ISBLANK(J104)=FALSE,OFFSET(I104,0,COUNTA(J104:N104)),"")</f>
        <v/>
      </c>
      <c r="J104" s="19"/>
      <c r="K104" s="19"/>
      <c r="L104" s="19"/>
      <c r="M104" s="19"/>
      <c r="N104" s="19"/>
    </row>
    <row r="105" spans="1:21" ht="13.5" customHeight="1">
      <c r="A105" s="68"/>
      <c r="B105" s="11"/>
      <c r="C105" s="8"/>
      <c r="D105" s="9"/>
      <c r="E105" s="3"/>
      <c r="F105" s="3"/>
      <c r="G105" s="12"/>
      <c r="H105" s="12"/>
      <c r="I105" s="9"/>
      <c r="J105" s="19"/>
      <c r="K105" s="19"/>
      <c r="L105" s="19"/>
      <c r="M105" s="19"/>
      <c r="N105" s="19"/>
    </row>
    <row r="106" spans="1:21">
      <c r="J106" s="20"/>
      <c r="K106" s="20"/>
      <c r="L106" s="20"/>
      <c r="M106" s="20"/>
      <c r="N106" s="20"/>
      <c r="P106" s="67" t="s">
        <v>209</v>
      </c>
      <c r="Q106" s="67" t="s">
        <v>147</v>
      </c>
      <c r="R106" s="67" t="s">
        <v>149</v>
      </c>
      <c r="S106" s="67" t="s">
        <v>148</v>
      </c>
      <c r="T106" s="67" t="s">
        <v>210</v>
      </c>
      <c r="U106" s="67" t="s">
        <v>211</v>
      </c>
    </row>
    <row r="107" spans="1:21">
      <c r="J107" s="20"/>
      <c r="K107" s="20"/>
      <c r="L107" s="20"/>
      <c r="M107" s="20"/>
      <c r="N107" s="20"/>
      <c r="P107" s="8" t="s">
        <v>136</v>
      </c>
      <c r="Q107" s="66">
        <f t="shared" ref="Q107:Q116" si="7">SUMIF($C$5:$C$104,P107,$G$5:$G$104)</f>
        <v>22</v>
      </c>
      <c r="R107" s="66">
        <f t="shared" ref="R107:R116" ca="1" si="8">SUMIF($C$5:$C$104,P107,$I$5:$I$104)</f>
        <v>1</v>
      </c>
      <c r="S107" s="66">
        <f t="shared" ref="S107:S116" si="9">SUMIF($C$5:$C$104,P107,$H$5:$H$104)</f>
        <v>22</v>
      </c>
      <c r="T107" s="10">
        <f t="shared" ref="T107:T116" si="10">COUNTA($J$2:$N$2)*6-COUNTA($J$4:$N$4)*6</f>
        <v>0</v>
      </c>
      <c r="U107" s="66">
        <f t="shared" ref="U107:U116" ca="1" si="11">IF(T107&gt;R107,0,R107-T107)</f>
        <v>1</v>
      </c>
    </row>
    <row r="108" spans="1:21">
      <c r="J108" s="20"/>
      <c r="K108" s="20"/>
      <c r="L108" s="20"/>
      <c r="M108" s="20"/>
      <c r="N108" s="20"/>
      <c r="P108" s="8" t="s">
        <v>137</v>
      </c>
      <c r="Q108" s="66">
        <f t="shared" si="7"/>
        <v>7</v>
      </c>
      <c r="R108" s="66">
        <f t="shared" ca="1" si="8"/>
        <v>0</v>
      </c>
      <c r="S108" s="66">
        <f t="shared" si="9"/>
        <v>7</v>
      </c>
      <c r="T108" s="10">
        <f t="shared" si="10"/>
        <v>0</v>
      </c>
      <c r="U108" s="66">
        <f t="shared" ca="1" si="11"/>
        <v>0</v>
      </c>
    </row>
    <row r="109" spans="1:21">
      <c r="J109" s="20"/>
      <c r="K109" s="20"/>
      <c r="L109" s="20"/>
      <c r="M109" s="20"/>
      <c r="N109" s="20"/>
      <c r="P109" s="8" t="s">
        <v>138</v>
      </c>
      <c r="Q109" s="66">
        <f t="shared" si="7"/>
        <v>29</v>
      </c>
      <c r="R109" s="66">
        <f t="shared" ca="1" si="8"/>
        <v>3</v>
      </c>
      <c r="S109" s="66">
        <f t="shared" si="9"/>
        <v>25.5</v>
      </c>
      <c r="T109" s="10">
        <f t="shared" si="10"/>
        <v>0</v>
      </c>
      <c r="U109" s="66">
        <f t="shared" ca="1" si="11"/>
        <v>3</v>
      </c>
    </row>
    <row r="110" spans="1:21">
      <c r="J110" s="20"/>
      <c r="K110" s="20"/>
      <c r="L110" s="20"/>
      <c r="M110" s="20"/>
      <c r="N110" s="20"/>
      <c r="P110" s="8" t="s">
        <v>139</v>
      </c>
      <c r="Q110" s="66">
        <f t="shared" si="7"/>
        <v>29</v>
      </c>
      <c r="R110" s="66">
        <f t="shared" ca="1" si="8"/>
        <v>6</v>
      </c>
      <c r="S110" s="66">
        <f t="shared" si="9"/>
        <v>27</v>
      </c>
      <c r="T110" s="10">
        <f t="shared" si="10"/>
        <v>0</v>
      </c>
      <c r="U110" s="66">
        <f t="shared" ca="1" si="11"/>
        <v>6</v>
      </c>
    </row>
    <row r="111" spans="1:21">
      <c r="J111" s="20"/>
      <c r="K111" s="20"/>
      <c r="L111" s="20"/>
      <c r="M111" s="20"/>
      <c r="N111" s="20"/>
      <c r="P111" s="8" t="s">
        <v>140</v>
      </c>
      <c r="Q111" s="66">
        <f t="shared" si="7"/>
        <v>11</v>
      </c>
      <c r="R111" s="66">
        <f t="shared" ca="1" si="8"/>
        <v>4</v>
      </c>
      <c r="S111" s="66">
        <f t="shared" si="9"/>
        <v>11</v>
      </c>
      <c r="T111" s="10">
        <f t="shared" si="10"/>
        <v>0</v>
      </c>
      <c r="U111" s="66">
        <f t="shared" ca="1" si="11"/>
        <v>4</v>
      </c>
    </row>
    <row r="112" spans="1:21">
      <c r="J112" s="20"/>
      <c r="K112" s="20"/>
      <c r="L112" s="20"/>
      <c r="M112" s="20"/>
      <c r="N112" s="20"/>
      <c r="P112" s="8"/>
      <c r="Q112" s="66">
        <f t="shared" si="7"/>
        <v>0</v>
      </c>
      <c r="R112" s="66">
        <f>SUMIF($C$5:$C$104,P112,$I$5:$I$104)</f>
        <v>0</v>
      </c>
      <c r="S112" s="66">
        <f>SUMIF($C$5:$C$104,P112,$H$5:$H$104)</f>
        <v>0</v>
      </c>
      <c r="T112" s="10">
        <f t="shared" si="10"/>
        <v>0</v>
      </c>
      <c r="U112" s="66">
        <f>IF(T112&gt;R112,0,R112-T112)</f>
        <v>0</v>
      </c>
    </row>
    <row r="113" spans="10:21">
      <c r="J113" s="20"/>
      <c r="K113" s="20"/>
      <c r="L113" s="20"/>
      <c r="M113" s="20"/>
      <c r="N113" s="20"/>
      <c r="P113" s="8"/>
      <c r="Q113" s="66">
        <f t="shared" si="7"/>
        <v>0</v>
      </c>
      <c r="R113" s="66">
        <f>SUMIF($C$5:$C$104,P113,$I$5:$I$104)</f>
        <v>0</v>
      </c>
      <c r="S113" s="66">
        <f>SUMIF($C$5:$C$104,P113,$H$5:$H$104)</f>
        <v>0</v>
      </c>
      <c r="T113" s="10">
        <f t="shared" si="10"/>
        <v>0</v>
      </c>
      <c r="U113" s="66">
        <f>IF(T113&gt;R113,0,R113-T113)</f>
        <v>0</v>
      </c>
    </row>
    <row r="114" spans="10:21">
      <c r="J114" s="20"/>
      <c r="K114" s="20"/>
      <c r="L114" s="20"/>
      <c r="M114" s="20"/>
      <c r="N114" s="20"/>
      <c r="P114" s="8"/>
      <c r="Q114" s="66">
        <f t="shared" si="7"/>
        <v>0</v>
      </c>
      <c r="R114" s="66">
        <f>SUMIF($C$5:$C$104,P114,$I$5:$I$104)</f>
        <v>0</v>
      </c>
      <c r="S114" s="66">
        <f>SUMIF($C$5:$C$104,P114,$H$5:$H$104)</f>
        <v>0</v>
      </c>
      <c r="T114" s="10">
        <f t="shared" si="10"/>
        <v>0</v>
      </c>
      <c r="U114" s="66">
        <f>IF(T114&gt;R114,0,R114-T114)</f>
        <v>0</v>
      </c>
    </row>
    <row r="115" spans="10:21">
      <c r="J115" s="20"/>
      <c r="K115" s="20"/>
      <c r="L115" s="20"/>
      <c r="M115" s="20"/>
      <c r="N115" s="20"/>
      <c r="P115" s="8"/>
      <c r="Q115" s="66">
        <f t="shared" si="7"/>
        <v>0</v>
      </c>
      <c r="R115" s="66">
        <f t="shared" si="8"/>
        <v>0</v>
      </c>
      <c r="S115" s="66">
        <f t="shared" si="9"/>
        <v>0</v>
      </c>
      <c r="T115" s="10">
        <f t="shared" si="10"/>
        <v>0</v>
      </c>
      <c r="U115" s="66">
        <f t="shared" si="11"/>
        <v>0</v>
      </c>
    </row>
    <row r="116" spans="10:21">
      <c r="J116" s="20"/>
      <c r="K116" s="20"/>
      <c r="L116" s="20"/>
      <c r="M116" s="20"/>
      <c r="N116" s="20"/>
      <c r="P116" s="8"/>
      <c r="Q116" s="66">
        <f t="shared" si="7"/>
        <v>0</v>
      </c>
      <c r="R116" s="66">
        <f t="shared" si="8"/>
        <v>0</v>
      </c>
      <c r="S116" s="66">
        <f t="shared" si="9"/>
        <v>0</v>
      </c>
      <c r="T116" s="10">
        <f t="shared" si="10"/>
        <v>0</v>
      </c>
      <c r="U116" s="66">
        <f t="shared" si="11"/>
        <v>0</v>
      </c>
    </row>
    <row r="117" spans="10:21">
      <c r="J117" s="20"/>
      <c r="K117" s="20"/>
      <c r="L117" s="20"/>
      <c r="M117" s="20"/>
      <c r="N117" s="20"/>
    </row>
    <row r="118" spans="10:21">
      <c r="J118" s="20"/>
      <c r="K118" s="20"/>
      <c r="L118" s="20"/>
      <c r="M118" s="20"/>
      <c r="N118" s="20"/>
    </row>
    <row r="119" spans="10:21">
      <c r="J119" s="20"/>
      <c r="K119" s="20"/>
      <c r="L119" s="20"/>
      <c r="M119" s="20"/>
      <c r="N119" s="20"/>
    </row>
    <row r="120" spans="10:21">
      <c r="J120" s="20"/>
      <c r="K120" s="20"/>
      <c r="L120" s="20"/>
      <c r="M120" s="20"/>
      <c r="N120" s="20"/>
    </row>
    <row r="121" spans="10:21">
      <c r="J121" s="20"/>
      <c r="K121" s="20"/>
      <c r="L121" s="20"/>
      <c r="M121" s="20"/>
      <c r="N121" s="20"/>
    </row>
    <row r="122" spans="10:21">
      <c r="J122" s="20"/>
      <c r="K122" s="20"/>
      <c r="L122" s="20"/>
      <c r="M122" s="20"/>
      <c r="N122" s="20"/>
    </row>
    <row r="123" spans="10:21">
      <c r="J123" s="20"/>
      <c r="K123" s="20"/>
      <c r="L123" s="20"/>
      <c r="M123" s="20"/>
      <c r="N123" s="20"/>
    </row>
    <row r="124" spans="10:21">
      <c r="J124" s="20"/>
      <c r="K124" s="20"/>
      <c r="L124" s="20"/>
      <c r="M124" s="20"/>
      <c r="N124" s="20"/>
    </row>
    <row r="125" spans="10:21">
      <c r="J125" s="20"/>
      <c r="K125" s="20"/>
      <c r="L125" s="20"/>
      <c r="M125" s="20"/>
      <c r="N125" s="20"/>
    </row>
    <row r="126" spans="10:21">
      <c r="J126" s="20"/>
      <c r="K126" s="20"/>
      <c r="L126" s="20"/>
      <c r="M126" s="20"/>
      <c r="N126" s="20"/>
    </row>
    <row r="127" spans="10:21">
      <c r="J127" s="20"/>
      <c r="K127" s="20"/>
      <c r="L127" s="20"/>
      <c r="M127" s="20"/>
      <c r="N127" s="20"/>
    </row>
    <row r="128" spans="10:21">
      <c r="J128" s="20"/>
      <c r="K128" s="20"/>
      <c r="L128" s="20"/>
      <c r="M128" s="20"/>
      <c r="N128" s="20"/>
    </row>
    <row r="129" spans="10:14">
      <c r="J129" s="20"/>
      <c r="K129" s="20"/>
      <c r="L129" s="20"/>
      <c r="M129" s="20"/>
      <c r="N129" s="20"/>
    </row>
    <row r="130" spans="10:14">
      <c r="J130" s="20"/>
      <c r="K130" s="20"/>
      <c r="L130" s="20"/>
      <c r="M130" s="20"/>
      <c r="N130" s="20"/>
    </row>
    <row r="131" spans="10:14">
      <c r="J131" s="20"/>
      <c r="K131" s="20"/>
      <c r="L131" s="20"/>
      <c r="M131" s="20"/>
      <c r="N131" s="20"/>
    </row>
    <row r="132" spans="10:14">
      <c r="J132" s="20"/>
      <c r="K132" s="20"/>
      <c r="L132" s="20"/>
      <c r="M132" s="20"/>
      <c r="N132" s="20"/>
    </row>
    <row r="133" spans="10:14">
      <c r="J133" s="20"/>
      <c r="K133" s="20"/>
      <c r="L133" s="20"/>
      <c r="M133" s="20"/>
      <c r="N133" s="20"/>
    </row>
    <row r="134" spans="10:14">
      <c r="J134" s="20"/>
      <c r="K134" s="20"/>
      <c r="L134" s="20"/>
      <c r="M134" s="20"/>
      <c r="N134" s="20"/>
    </row>
    <row r="135" spans="10:14">
      <c r="J135" s="20"/>
      <c r="K135" s="20"/>
      <c r="L135" s="20"/>
      <c r="M135" s="20"/>
      <c r="N135" s="20"/>
    </row>
    <row r="136" spans="10:14">
      <c r="J136" s="20"/>
      <c r="K136" s="20"/>
      <c r="L136" s="20"/>
      <c r="M136" s="20"/>
      <c r="N136" s="20"/>
    </row>
    <row r="137" spans="10:14">
      <c r="J137" s="20"/>
      <c r="K137" s="20"/>
      <c r="L137" s="20"/>
      <c r="M137" s="20"/>
      <c r="N137" s="20"/>
    </row>
    <row r="138" spans="10:14">
      <c r="J138" s="20"/>
      <c r="K138" s="20"/>
      <c r="L138" s="20"/>
      <c r="M138" s="20"/>
      <c r="N138" s="20"/>
    </row>
    <row r="139" spans="10:14">
      <c r="J139" s="20"/>
      <c r="K139" s="20"/>
      <c r="L139" s="20"/>
      <c r="M139" s="20"/>
      <c r="N139" s="20"/>
    </row>
    <row r="140" spans="10:14">
      <c r="J140" s="20"/>
      <c r="K140" s="20"/>
      <c r="L140" s="20"/>
      <c r="M140" s="20"/>
      <c r="N140" s="20"/>
    </row>
    <row r="141" spans="10:14">
      <c r="J141" s="20"/>
      <c r="K141" s="20"/>
      <c r="L141" s="20"/>
      <c r="M141" s="20"/>
      <c r="N141" s="20"/>
    </row>
    <row r="142" spans="10:14">
      <c r="J142" s="20"/>
      <c r="K142" s="20"/>
      <c r="L142" s="20"/>
      <c r="M142" s="20"/>
      <c r="N142" s="20"/>
    </row>
    <row r="143" spans="10:14">
      <c r="J143" s="20"/>
      <c r="K143" s="20"/>
      <c r="L143" s="20"/>
      <c r="M143" s="20"/>
      <c r="N143" s="20"/>
    </row>
    <row r="144" spans="10:14">
      <c r="J144" s="20"/>
      <c r="K144" s="20"/>
      <c r="L144" s="20"/>
      <c r="M144" s="20"/>
      <c r="N144" s="20"/>
    </row>
    <row r="145" spans="10:14">
      <c r="J145" s="20"/>
      <c r="K145" s="20"/>
      <c r="L145" s="20"/>
      <c r="M145" s="20"/>
      <c r="N145" s="20"/>
    </row>
    <row r="146" spans="10:14">
      <c r="J146" s="20"/>
      <c r="K146" s="20"/>
      <c r="L146" s="20"/>
      <c r="M146" s="20"/>
      <c r="N146" s="20"/>
    </row>
    <row r="147" spans="10:14">
      <c r="J147" s="20"/>
      <c r="K147" s="20"/>
      <c r="L147" s="20"/>
      <c r="M147" s="20"/>
      <c r="N147" s="20"/>
    </row>
    <row r="148" spans="10:14">
      <c r="J148" s="20"/>
      <c r="K148" s="20"/>
      <c r="L148" s="20"/>
      <c r="M148" s="20"/>
      <c r="N148" s="20"/>
    </row>
    <row r="149" spans="10:14">
      <c r="J149" s="20"/>
      <c r="K149" s="20"/>
      <c r="L149" s="20"/>
      <c r="M149" s="20"/>
      <c r="N149" s="20"/>
    </row>
    <row r="150" spans="10:14">
      <c r="J150" s="20"/>
      <c r="K150" s="20"/>
      <c r="L150" s="20"/>
      <c r="M150" s="20"/>
      <c r="N150" s="20"/>
    </row>
    <row r="151" spans="10:14">
      <c r="J151" s="20"/>
      <c r="K151" s="20"/>
      <c r="L151" s="20"/>
      <c r="M151" s="20"/>
      <c r="N151" s="20"/>
    </row>
    <row r="152" spans="10:14">
      <c r="J152" s="20"/>
      <c r="K152" s="20"/>
      <c r="L152" s="20"/>
      <c r="M152" s="20"/>
      <c r="N152" s="20"/>
    </row>
    <row r="153" spans="10:14">
      <c r="J153" s="20"/>
      <c r="K153" s="20"/>
      <c r="L153" s="20"/>
      <c r="M153" s="20"/>
      <c r="N153" s="20"/>
    </row>
    <row r="154" spans="10:14">
      <c r="J154" s="20"/>
      <c r="K154" s="20"/>
      <c r="L154" s="20"/>
      <c r="M154" s="20"/>
      <c r="N154" s="20"/>
    </row>
    <row r="155" spans="10:14">
      <c r="J155" s="20"/>
      <c r="K155" s="20"/>
      <c r="L155" s="20"/>
      <c r="M155" s="20"/>
      <c r="N155" s="20"/>
    </row>
    <row r="156" spans="10:14">
      <c r="J156" s="20"/>
      <c r="K156" s="20"/>
      <c r="L156" s="20"/>
      <c r="M156" s="20"/>
      <c r="N156" s="20"/>
    </row>
    <row r="157" spans="10:14">
      <c r="J157" s="20"/>
      <c r="K157" s="20"/>
      <c r="L157" s="20"/>
      <c r="M157" s="20"/>
      <c r="N157" s="20"/>
    </row>
    <row r="158" spans="10:14">
      <c r="J158" s="20"/>
      <c r="K158" s="20"/>
      <c r="L158" s="20"/>
      <c r="M158" s="20"/>
      <c r="N158" s="20"/>
    </row>
    <row r="159" spans="10:14">
      <c r="J159" s="20"/>
      <c r="K159" s="20"/>
      <c r="L159" s="20"/>
      <c r="M159" s="20"/>
      <c r="N159" s="20"/>
    </row>
    <row r="160" spans="10:14">
      <c r="J160" s="20"/>
      <c r="K160" s="20"/>
      <c r="L160" s="20"/>
      <c r="M160" s="20"/>
      <c r="N160" s="20"/>
    </row>
    <row r="161" spans="10:14">
      <c r="J161" s="20"/>
      <c r="K161" s="20"/>
      <c r="L161" s="20"/>
      <c r="M161" s="20"/>
      <c r="N161" s="20"/>
    </row>
    <row r="162" spans="10:14">
      <c r="J162" s="20"/>
      <c r="K162" s="20"/>
      <c r="L162" s="20"/>
      <c r="M162" s="20"/>
      <c r="N162" s="20"/>
    </row>
    <row r="163" spans="10:14">
      <c r="J163" s="20"/>
      <c r="K163" s="20"/>
      <c r="L163" s="20"/>
      <c r="M163" s="20"/>
      <c r="N163" s="20"/>
    </row>
    <row r="164" spans="10:14">
      <c r="J164" s="20"/>
      <c r="K164" s="20"/>
      <c r="L164" s="20"/>
      <c r="M164" s="20"/>
      <c r="N164" s="20"/>
    </row>
    <row r="165" spans="10:14">
      <c r="J165" s="20"/>
      <c r="K165" s="20"/>
      <c r="L165" s="20"/>
      <c r="M165" s="20"/>
      <c r="N165" s="20"/>
    </row>
    <row r="166" spans="10:14">
      <c r="J166" s="20"/>
      <c r="K166" s="20"/>
      <c r="L166" s="20"/>
      <c r="M166" s="20"/>
      <c r="N166" s="20"/>
    </row>
    <row r="167" spans="10:14">
      <c r="J167" s="20"/>
      <c r="K167" s="20"/>
      <c r="L167" s="20"/>
      <c r="M167" s="20"/>
      <c r="N167" s="20"/>
    </row>
    <row r="168" spans="10:14">
      <c r="J168" s="20"/>
      <c r="K168" s="20"/>
      <c r="L168" s="20"/>
      <c r="M168" s="20"/>
      <c r="N168" s="20"/>
    </row>
    <row r="169" spans="10:14">
      <c r="J169" s="20"/>
      <c r="K169" s="20"/>
      <c r="L169" s="20"/>
      <c r="M169" s="20"/>
      <c r="N169" s="20"/>
    </row>
    <row r="170" spans="10:14">
      <c r="J170" s="20"/>
      <c r="K170" s="20"/>
      <c r="L170" s="20"/>
      <c r="M170" s="20"/>
      <c r="N170" s="20"/>
    </row>
    <row r="171" spans="10:14">
      <c r="J171" s="20"/>
      <c r="K171" s="20"/>
      <c r="L171" s="20"/>
      <c r="M171" s="20"/>
      <c r="N171" s="20"/>
    </row>
    <row r="172" spans="10:14">
      <c r="J172" s="20"/>
      <c r="K172" s="20"/>
      <c r="L172" s="20"/>
      <c r="M172" s="20"/>
      <c r="N172" s="20"/>
    </row>
    <row r="173" spans="10:14">
      <c r="J173" s="20"/>
      <c r="K173" s="20"/>
      <c r="L173" s="20"/>
      <c r="M173" s="20"/>
      <c r="N173" s="20"/>
    </row>
    <row r="174" spans="10:14">
      <c r="J174" s="20"/>
      <c r="K174" s="20"/>
      <c r="L174" s="20"/>
      <c r="M174" s="20"/>
      <c r="N174" s="20"/>
    </row>
    <row r="175" spans="10:14">
      <c r="J175" s="20"/>
      <c r="K175" s="20"/>
      <c r="L175" s="20"/>
      <c r="M175" s="20"/>
      <c r="N175" s="20"/>
    </row>
    <row r="176" spans="10:14">
      <c r="J176" s="20"/>
      <c r="K176" s="20"/>
      <c r="L176" s="20"/>
      <c r="M176" s="20"/>
      <c r="N176" s="20"/>
    </row>
    <row r="177" spans="10:14">
      <c r="J177" s="20"/>
      <c r="K177" s="20"/>
      <c r="L177" s="20"/>
      <c r="M177" s="20"/>
      <c r="N177" s="20"/>
    </row>
    <row r="178" spans="10:14">
      <c r="J178" s="20"/>
      <c r="K178" s="20"/>
      <c r="L178" s="20"/>
      <c r="M178" s="20"/>
      <c r="N178" s="20"/>
    </row>
    <row r="179" spans="10:14">
      <c r="J179" s="20"/>
      <c r="K179" s="20"/>
      <c r="L179" s="20"/>
      <c r="M179" s="20"/>
      <c r="N179" s="20"/>
    </row>
    <row r="180" spans="10:14">
      <c r="J180" s="20"/>
      <c r="K180" s="20"/>
      <c r="L180" s="20"/>
      <c r="M180" s="20"/>
      <c r="N180" s="20"/>
    </row>
    <row r="181" spans="10:14">
      <c r="J181" s="20"/>
      <c r="K181" s="20"/>
      <c r="L181" s="20"/>
      <c r="M181" s="20"/>
      <c r="N181" s="20"/>
    </row>
    <row r="182" spans="10:14">
      <c r="J182" s="20"/>
      <c r="K182" s="20"/>
      <c r="L182" s="20"/>
      <c r="M182" s="20"/>
      <c r="N182" s="20"/>
    </row>
    <row r="183" spans="10:14">
      <c r="J183" s="20"/>
      <c r="K183" s="20"/>
      <c r="L183" s="20"/>
      <c r="M183" s="20"/>
      <c r="N183" s="20"/>
    </row>
    <row r="184" spans="10:14">
      <c r="J184" s="20"/>
      <c r="K184" s="20"/>
      <c r="L184" s="20"/>
      <c r="M184" s="20"/>
      <c r="N184" s="20"/>
    </row>
    <row r="185" spans="10:14">
      <c r="J185" s="20"/>
      <c r="K185" s="20"/>
      <c r="L185" s="20"/>
      <c r="M185" s="20"/>
      <c r="N185" s="20"/>
    </row>
    <row r="186" spans="10:14">
      <c r="J186" s="20"/>
      <c r="K186" s="20"/>
      <c r="L186" s="20"/>
      <c r="M186" s="20"/>
      <c r="N186" s="20"/>
    </row>
    <row r="187" spans="10:14">
      <c r="J187" s="20"/>
      <c r="K187" s="20"/>
      <c r="L187" s="20"/>
      <c r="M187" s="20"/>
      <c r="N187" s="20"/>
    </row>
    <row r="188" spans="10:14">
      <c r="J188" s="20"/>
      <c r="K188" s="20"/>
      <c r="L188" s="20"/>
      <c r="M188" s="20"/>
      <c r="N188" s="20"/>
    </row>
  </sheetData>
  <autoFilter ref="A1:N106" xr:uid="{00000000-0009-0000-0000-000004000000}">
    <filterColumn colId="9" showButton="0"/>
    <filterColumn colId="10" showButton="0"/>
    <filterColumn colId="11" showButton="0"/>
    <filterColumn colId="12" showButton="0"/>
  </autoFilter>
  <mergeCells count="10">
    <mergeCell ref="J1:N1"/>
    <mergeCell ref="A1:A4"/>
    <mergeCell ref="B1:B4"/>
    <mergeCell ref="I1:I4"/>
    <mergeCell ref="C1:C4"/>
    <mergeCell ref="D1:D4"/>
    <mergeCell ref="E1:E4"/>
    <mergeCell ref="F1:F4"/>
    <mergeCell ref="G1:G4"/>
    <mergeCell ref="H1:H4"/>
  </mergeCells>
  <phoneticPr fontId="4"/>
  <conditionalFormatting sqref="A5:A15 O5:IV15 O16:XFD61 A16:B76 D35:K40 D41:N61 D62:XFD76 A77:XFD104">
    <cfRule type="expression" dxfId="96" priority="141" stopIfTrue="1">
      <formula>OR($D5="終了",$D5="完了")</formula>
    </cfRule>
  </conditionalFormatting>
  <conditionalFormatting sqref="A5:A15 O5:IV15 O16:XFD61 A16:B76 D62:XFD76 A77:XFD104 D35:K40 D41:N61">
    <cfRule type="expression" dxfId="95" priority="140" stopIfTrue="1">
      <formula>$D5="作業中"</formula>
    </cfRule>
  </conditionalFormatting>
  <conditionalFormatting sqref="A5:A15 O5:IV15 O16:XFD61 A16:B76 D62:XFD76 A77:XFD104">
    <cfRule type="expression" dxfId="94" priority="139" stopIfTrue="1">
      <formula>$D5="未着手"</formula>
    </cfRule>
  </conditionalFormatting>
  <conditionalFormatting sqref="A105:B105 D105:N105">
    <cfRule type="expression" dxfId="93" priority="40" stopIfTrue="1">
      <formula>$D105="未着手"</formula>
    </cfRule>
    <cfRule type="expression" dxfId="92" priority="41" stopIfTrue="1">
      <formula>$D105="作業中"</formula>
    </cfRule>
    <cfRule type="expression" dxfId="91" priority="42" stopIfTrue="1">
      <formula>OR($D105="終了",$D105="完了")</formula>
    </cfRule>
  </conditionalFormatting>
  <conditionalFormatting sqref="B5">
    <cfRule type="expression" dxfId="90" priority="129" stopIfTrue="1">
      <formula>OR($F5="終了",$F5="完了")</formula>
    </cfRule>
    <cfRule type="expression" dxfId="89" priority="128" stopIfTrue="1">
      <formula>$F5="作業中"</formula>
    </cfRule>
    <cfRule type="expression" dxfId="88" priority="127" stopIfTrue="1">
      <formula>$F5="未着手"</formula>
    </cfRule>
    <cfRule type="expression" dxfId="87" priority="126" stopIfTrue="1">
      <formula>OR($F4="終了",$F4="完了")</formula>
    </cfRule>
    <cfRule type="expression" dxfId="86" priority="125" stopIfTrue="1">
      <formula>$F4="作業中"</formula>
    </cfRule>
    <cfRule type="expression" dxfId="85" priority="124" stopIfTrue="1">
      <formula>$F4="未着手"</formula>
    </cfRule>
  </conditionalFormatting>
  <conditionalFormatting sqref="B6">
    <cfRule type="expression" dxfId="84" priority="107" stopIfTrue="1">
      <formula>$F6="作業中"</formula>
    </cfRule>
    <cfRule type="expression" dxfId="83" priority="106" stopIfTrue="1">
      <formula>$F6="未着手"</formula>
    </cfRule>
    <cfRule type="expression" dxfId="82" priority="108" stopIfTrue="1">
      <formula>OR($F6="終了",$F6="完了")</formula>
    </cfRule>
  </conditionalFormatting>
  <conditionalFormatting sqref="B6:B8">
    <cfRule type="expression" dxfId="81" priority="111" stopIfTrue="1">
      <formula>OR($F6="終了",$F6="完了")</formula>
    </cfRule>
    <cfRule type="expression" dxfId="80" priority="110" stopIfTrue="1">
      <formula>$F6="作業中"</formula>
    </cfRule>
    <cfRule type="expression" dxfId="79" priority="109" stopIfTrue="1">
      <formula>$F6="未着手"</formula>
    </cfRule>
  </conditionalFormatting>
  <conditionalFormatting sqref="B7">
    <cfRule type="expression" dxfId="78" priority="105" stopIfTrue="1">
      <formula>OR($F6="終了",$F6="完了")</formula>
    </cfRule>
    <cfRule type="expression" dxfId="77" priority="104" stopIfTrue="1">
      <formula>$F6="作業中"</formula>
    </cfRule>
    <cfRule type="expression" dxfId="76" priority="103" stopIfTrue="1">
      <formula>$F6="未着手"</formula>
    </cfRule>
  </conditionalFormatting>
  <conditionalFormatting sqref="B8">
    <cfRule type="expression" dxfId="75" priority="112" stopIfTrue="1">
      <formula>$F7="未着手"</formula>
    </cfRule>
    <cfRule type="expression" dxfId="74" priority="113" stopIfTrue="1">
      <formula>$F7="作業中"</formula>
    </cfRule>
    <cfRule type="expression" dxfId="73" priority="114" stopIfTrue="1">
      <formula>OR($F7="終了",$F7="完了")</formula>
    </cfRule>
  </conditionalFormatting>
  <conditionalFormatting sqref="B9:B10">
    <cfRule type="expression" dxfId="72" priority="88" stopIfTrue="1">
      <formula>$F6="未着手"</formula>
    </cfRule>
    <cfRule type="expression" dxfId="71" priority="89" stopIfTrue="1">
      <formula>$F6="作業中"</formula>
    </cfRule>
    <cfRule type="expression" dxfId="70" priority="90" stopIfTrue="1">
      <formula>OR($F6="終了",$F6="完了")</formula>
    </cfRule>
  </conditionalFormatting>
  <conditionalFormatting sqref="B11:B12">
    <cfRule type="expression" dxfId="69" priority="80" stopIfTrue="1">
      <formula>$F12="作業中"</formula>
    </cfRule>
    <cfRule type="expression" dxfId="68" priority="79" stopIfTrue="1">
      <formula>$F12="未着手"</formula>
    </cfRule>
    <cfRule type="expression" dxfId="67" priority="81" stopIfTrue="1">
      <formula>OR($F12="終了",$F12="完了")</formula>
    </cfRule>
  </conditionalFormatting>
  <conditionalFormatting sqref="B11:B13">
    <cfRule type="expression" dxfId="66" priority="84" stopIfTrue="1">
      <formula>OR($F11="終了",$F11="完了")</formula>
    </cfRule>
    <cfRule type="expression" dxfId="65" priority="82" stopIfTrue="1">
      <formula>$F11="未着手"</formula>
    </cfRule>
    <cfRule type="expression" dxfId="64" priority="83" stopIfTrue="1">
      <formula>$F11="作業中"</formula>
    </cfRule>
  </conditionalFormatting>
  <conditionalFormatting sqref="B14:B15">
    <cfRule type="expression" dxfId="63" priority="135" stopIfTrue="1">
      <formula>OR($D14="終了",$D14="完了")</formula>
    </cfRule>
    <cfRule type="expression" dxfId="62" priority="133" stopIfTrue="1">
      <formula>$D14="未着手"</formula>
    </cfRule>
    <cfRule type="expression" dxfId="61" priority="134" stopIfTrue="1">
      <formula>$D14="作業中"</formula>
    </cfRule>
  </conditionalFormatting>
  <conditionalFormatting sqref="B106:B65536">
    <cfRule type="expression" dxfId="60" priority="142" stopIfTrue="1">
      <formula>D106="未着手"</formula>
    </cfRule>
    <cfRule type="expression" dxfId="59" priority="143" stopIfTrue="1">
      <formula>D106="作業中"</formula>
    </cfRule>
    <cfRule type="expression" dxfId="58" priority="144" stopIfTrue="1">
      <formula>OR(D106="終了",D106="完了")</formula>
    </cfRule>
  </conditionalFormatting>
  <conditionalFormatting sqref="C5:C76">
    <cfRule type="containsText" dxfId="57" priority="76" stopIfTrue="1" operator="containsText" text="大高">
      <formula>NOT(ISERROR(SEARCH("大高",C5)))</formula>
    </cfRule>
    <cfRule type="containsText" dxfId="56" priority="75" stopIfTrue="1" operator="containsText" text="飯島">
      <formula>NOT(ISERROR(SEARCH("飯島",C5)))</formula>
    </cfRule>
    <cfRule type="containsText" dxfId="55" priority="73" operator="containsText" text="阿曽">
      <formula>NOT(ISERROR(SEARCH("阿曽",C5)))</formula>
    </cfRule>
    <cfRule type="containsText" dxfId="54" priority="72" operator="containsText" text="佐藤">
      <formula>NOT(ISERROR(SEARCH("佐藤",C5)))</formula>
    </cfRule>
    <cfRule type="containsText" dxfId="53" priority="71" operator="containsText" text="未定">
      <formula>NOT(ISERROR(SEARCH("未定",C5)))</formula>
    </cfRule>
    <cfRule type="containsText" dxfId="52" priority="54" operator="containsText" text="佐藤">
      <formula>NOT(ISERROR(SEARCH("佐藤",C5)))</formula>
    </cfRule>
    <cfRule type="containsText" dxfId="51" priority="77" stopIfTrue="1" operator="containsText" text="斉藤">
      <formula>NOT(ISERROR(SEARCH("斉藤",C5)))</formula>
    </cfRule>
    <cfRule type="containsText" dxfId="50" priority="78" stopIfTrue="1" operator="containsText" text="金城">
      <formula>NOT(ISERROR(SEARCH("金城",C5)))</formula>
    </cfRule>
    <cfRule type="containsText" dxfId="49" priority="74" stopIfTrue="1" operator="containsText" text="幸野">
      <formula>NOT(ISERROR(SEARCH("幸野",C5)))</formula>
    </cfRule>
  </conditionalFormatting>
  <conditionalFormatting sqref="C105">
    <cfRule type="containsText" dxfId="48" priority="28" stopIfTrue="1" operator="containsText" text="飯島">
      <formula>NOT(ISERROR(SEARCH("飯島",C105)))</formula>
    </cfRule>
    <cfRule type="containsText" dxfId="47" priority="16" operator="containsText" text="未定">
      <formula>NOT(ISERROR(SEARCH("未定",C105)))</formula>
    </cfRule>
    <cfRule type="containsText" dxfId="46" priority="7" operator="containsText" text="未定">
      <formula>NOT(ISERROR(SEARCH("未定",C105)))</formula>
    </cfRule>
    <cfRule type="containsText" dxfId="45" priority="8" operator="containsText" text="佐藤">
      <formula>NOT(ISERROR(SEARCH("佐藤",C105)))</formula>
    </cfRule>
    <cfRule type="containsText" dxfId="44" priority="9" operator="containsText" text="阿曽">
      <formula>NOT(ISERROR(SEARCH("阿曽",C105)))</formula>
    </cfRule>
    <cfRule type="containsText" dxfId="43" priority="10" stopIfTrue="1" operator="containsText" text="幸野">
      <formula>NOT(ISERROR(SEARCH("幸野",C105)))</formula>
    </cfRule>
    <cfRule type="containsText" dxfId="42" priority="11" stopIfTrue="1" operator="containsText" text="飯島">
      <formula>NOT(ISERROR(SEARCH("飯島",C105)))</formula>
    </cfRule>
    <cfRule type="containsText" dxfId="41" priority="12" stopIfTrue="1" operator="containsText" text="大高">
      <formula>NOT(ISERROR(SEARCH("大高",C105)))</formula>
    </cfRule>
    <cfRule type="containsText" dxfId="40" priority="13" stopIfTrue="1" operator="containsText" text="斉藤">
      <formula>NOT(ISERROR(SEARCH("斉藤",C105)))</formula>
    </cfRule>
    <cfRule type="containsText" dxfId="39" priority="14" stopIfTrue="1" operator="containsText" text="金城">
      <formula>NOT(ISERROR(SEARCH("金城",C105)))</formula>
    </cfRule>
    <cfRule type="containsText" dxfId="38" priority="15" operator="containsText" text="佐藤">
      <formula>NOT(ISERROR(SEARCH("佐藤",C105)))</formula>
    </cfRule>
    <cfRule type="containsText" dxfId="37" priority="17" operator="containsText" text="佐藤">
      <formula>NOT(ISERROR(SEARCH("佐藤",C105)))</formula>
    </cfRule>
    <cfRule type="containsText" dxfId="36" priority="18" operator="containsText" text="阿曽">
      <formula>NOT(ISERROR(SEARCH("阿曽",C105)))</formula>
    </cfRule>
    <cfRule type="containsText" dxfId="35" priority="19" stopIfTrue="1" operator="containsText" text="幸野">
      <formula>NOT(ISERROR(SEARCH("幸野",C105)))</formula>
    </cfRule>
    <cfRule type="containsText" dxfId="34" priority="20" stopIfTrue="1" operator="containsText" text="飯島">
      <formula>NOT(ISERROR(SEARCH("飯島",C105)))</formula>
    </cfRule>
    <cfRule type="containsText" dxfId="33" priority="21" stopIfTrue="1" operator="containsText" text="大高">
      <formula>NOT(ISERROR(SEARCH("大高",C105)))</formula>
    </cfRule>
    <cfRule type="containsText" dxfId="32" priority="22" stopIfTrue="1" operator="containsText" text="斉藤">
      <formula>NOT(ISERROR(SEARCH("斉藤",C105)))</formula>
    </cfRule>
    <cfRule type="containsText" dxfId="31" priority="23" stopIfTrue="1" operator="containsText" text="金城">
      <formula>NOT(ISERROR(SEARCH("金城",C105)))</formula>
    </cfRule>
    <cfRule type="containsText" dxfId="30" priority="24" operator="containsText" text="未定">
      <formula>NOT(ISERROR(SEARCH("未定",C105)))</formula>
    </cfRule>
    <cfRule type="containsText" dxfId="29" priority="25" operator="containsText" text="佐藤">
      <formula>NOT(ISERROR(SEARCH("佐藤",C105)))</formula>
    </cfRule>
    <cfRule type="containsText" dxfId="28" priority="26" operator="containsText" text="阿曽">
      <formula>NOT(ISERROR(SEARCH("阿曽",C105)))</formula>
    </cfRule>
    <cfRule type="containsText" dxfId="27" priority="27" stopIfTrue="1" operator="containsText" text="幸野">
      <formula>NOT(ISERROR(SEARCH("幸野",C105)))</formula>
    </cfRule>
    <cfRule type="containsText" dxfId="26" priority="29" stopIfTrue="1" operator="containsText" text="大高">
      <formula>NOT(ISERROR(SEARCH("大高",C105)))</formula>
    </cfRule>
    <cfRule type="containsText" dxfId="25" priority="30" stopIfTrue="1" operator="containsText" text="斉藤">
      <formula>NOT(ISERROR(SEARCH("斉藤",C105)))</formula>
    </cfRule>
    <cfRule type="containsText" dxfId="24" priority="31" stopIfTrue="1" operator="containsText" text="金城">
      <formula>NOT(ISERROR(SEARCH("金城",C105)))</formula>
    </cfRule>
    <cfRule type="containsText" dxfId="23" priority="32" operator="containsText" text="未定">
      <formula>NOT(ISERROR(SEARCH("未定",C105)))</formula>
    </cfRule>
    <cfRule type="containsText" dxfId="22" priority="33" operator="containsText" text="佐藤">
      <formula>NOT(ISERROR(SEARCH("佐藤",C105)))</formula>
    </cfRule>
    <cfRule type="containsText" dxfId="21" priority="34" operator="containsText" text="阿曽">
      <formula>NOT(ISERROR(SEARCH("阿曽",C105)))</formula>
    </cfRule>
    <cfRule type="containsText" dxfId="20" priority="35" stopIfTrue="1" operator="containsText" text="幸野">
      <formula>NOT(ISERROR(SEARCH("幸野",C105)))</formula>
    </cfRule>
    <cfRule type="containsText" dxfId="19" priority="36" stopIfTrue="1" operator="containsText" text="飯島">
      <formula>NOT(ISERROR(SEARCH("飯島",C105)))</formula>
    </cfRule>
    <cfRule type="containsText" dxfId="18" priority="37" stopIfTrue="1" operator="containsText" text="大高">
      <formula>NOT(ISERROR(SEARCH("大高",C105)))</formula>
    </cfRule>
    <cfRule type="containsText" dxfId="17" priority="38" stopIfTrue="1" operator="containsText" text="斉藤">
      <formula>NOT(ISERROR(SEARCH("斉藤",C105)))</formula>
    </cfRule>
    <cfRule type="containsText" dxfId="16" priority="39" stopIfTrue="1" operator="containsText" text="金城">
      <formula>NOT(ISERROR(SEARCH("金城",C105)))</formula>
    </cfRule>
  </conditionalFormatting>
  <conditionalFormatting sqref="C106:C65536">
    <cfRule type="expression" dxfId="15" priority="145" stopIfTrue="1">
      <formula>D106="未着手"</formula>
    </cfRule>
    <cfRule type="expression" dxfId="14" priority="146" stopIfTrue="1">
      <formula>D106="作業中"</formula>
    </cfRule>
    <cfRule type="expression" dxfId="13" priority="147" stopIfTrue="1">
      <formula>OR(D106="終了",D106="完了")</formula>
    </cfRule>
  </conditionalFormatting>
  <conditionalFormatting sqref="D106:D65536">
    <cfRule type="expression" dxfId="12" priority="136" stopIfTrue="1">
      <formula>D106="未着手"</formula>
    </cfRule>
    <cfRule type="expression" dxfId="11" priority="137" stopIfTrue="1">
      <formula>D106="作業中"</formula>
    </cfRule>
    <cfRule type="expression" dxfId="10" priority="138" stopIfTrue="1">
      <formula>OR(D106="終了",D106="完了")</formula>
    </cfRule>
  </conditionalFormatting>
  <conditionalFormatting sqref="D5:J34">
    <cfRule type="expression" dxfId="9" priority="120" stopIfTrue="1">
      <formula>OR($D5="終了",$D5="完了")</formula>
    </cfRule>
    <cfRule type="expression" dxfId="8" priority="119" stopIfTrue="1">
      <formula>$D5="作業中"</formula>
    </cfRule>
  </conditionalFormatting>
  <conditionalFormatting sqref="D5:N61">
    <cfRule type="expression" dxfId="7" priority="1" stopIfTrue="1">
      <formula>$D5="未着手"</formula>
    </cfRule>
  </conditionalFormatting>
  <conditionalFormatting sqref="E106:N65536">
    <cfRule type="expression" dxfId="6" priority="148" stopIfTrue="1">
      <formula>$D106="未着手"</formula>
    </cfRule>
    <cfRule type="expression" dxfId="5" priority="149" stopIfTrue="1">
      <formula>$D106="作業中"</formula>
    </cfRule>
    <cfRule type="expression" dxfId="4" priority="150" stopIfTrue="1">
      <formula>OR($D106="終了",$D106="完了")</formula>
    </cfRule>
  </conditionalFormatting>
  <conditionalFormatting sqref="K18:K34">
    <cfRule type="expression" dxfId="3" priority="45" stopIfTrue="1">
      <formula>OR($D18="終了",$D18="完了")</formula>
    </cfRule>
    <cfRule type="expression" dxfId="2" priority="44" stopIfTrue="1">
      <formula>$D18="作業中"</formula>
    </cfRule>
  </conditionalFormatting>
  <conditionalFormatting sqref="K5:N17 L18:N40">
    <cfRule type="expression" dxfId="1" priority="3" stopIfTrue="1">
      <formula>OR($D5="終了",$D5="完了")</formula>
    </cfRule>
    <cfRule type="expression" dxfId="0" priority="2" stopIfTrue="1">
      <formula>$D5="作業中"</formula>
    </cfRule>
  </conditionalFormatting>
  <dataValidations count="1">
    <dataValidation type="list" allowBlank="1" showInputMessage="1" showErrorMessage="1" sqref="C105 C5:C76" xr:uid="{00000000-0002-0000-0400-000000000000}">
      <formula1>"宮内,斉藤,SIM,桑原,杉浦,根岸,未定"</formula1>
    </dataValidation>
  </dataValidations>
  <pageMargins left="0.75" right="0.75" top="1" bottom="1" header="0.51200000000000001" footer="0.51200000000000001"/>
  <pageSetup paperSize="9" orientation="portrait" horizontalDpi="300" verticalDpi="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スケジュール（4月分）</vt:lpstr>
      <vt:lpstr>スケジュール（5月分）</vt:lpstr>
      <vt:lpstr>スケジュール（6月分）</vt:lpstr>
      <vt:lpstr>スプリントバックログ(プロト）</vt:lpstr>
      <vt:lpstr>スプリントバックログ(α)</vt:lpstr>
    </vt:vector>
  </TitlesOfParts>
  <Manager/>
  <Company>学校法人片柳学園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ネットワークセンター</dc:creator>
  <cp:keywords/>
  <dc:description/>
  <cp:lastModifiedBy>Taeho Sim</cp:lastModifiedBy>
  <cp:revision/>
  <dcterms:created xsi:type="dcterms:W3CDTF">2007-12-08T04:18:44Z</dcterms:created>
  <dcterms:modified xsi:type="dcterms:W3CDTF">2025-07-10T15:28:42Z</dcterms:modified>
  <cp:category/>
  <cp:contentStatus/>
</cp:coreProperties>
</file>